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snarayanaswamy/Documents/hackaton/finintel_run/sample_data/"/>
    </mc:Choice>
  </mc:AlternateContent>
  <xr:revisionPtr revIDLastSave="0" documentId="13_ncr:1_{0BAB0263-CD6C-FF45-8884-6B5B6E565A13}" xr6:coauthVersionLast="47" xr6:coauthVersionMax="47" xr10:uidLastSave="{00000000-0000-0000-0000-000000000000}"/>
  <bookViews>
    <workbookView xWindow="0" yWindow="740" windowWidth="34560" windowHeight="21600" activeTab="1" xr2:uid="{D17B7CAD-D25E-4F20-8096-0A9ACC033B04}"/>
  </bookViews>
  <sheets>
    <sheet name="Instructions" sheetId="6" r:id="rId1"/>
    <sheet name="December '24" sheetId="5" r:id="rId2"/>
    <sheet name="Team" sheetId="1" r:id="rId3"/>
    <sheet name="Data" sheetId="3" state="hidden" r:id="rId4"/>
  </sheets>
  <definedNames>
    <definedName name="Month" localSheetId="1">Table3[Months]</definedName>
    <definedName name="Month">Table3[Months]</definedName>
    <definedName name="Team" localSheetId="1">Table1[Name]</definedName>
    <definedName name="Team">Table1[Name]</definedName>
    <definedName name="Year" localSheetId="1">Table4[Year]</definedName>
    <definedName name="Year">Table4[Year]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5" l="1"/>
  <c r="M4" i="5"/>
  <c r="N4" i="5"/>
  <c r="O4" i="5"/>
  <c r="P4" i="5"/>
  <c r="Q4" i="5"/>
  <c r="R4" i="5"/>
  <c r="S4" i="5"/>
  <c r="G13" i="5" l="1"/>
  <c r="AQ13" i="5" s="1"/>
  <c r="F20" i="5"/>
  <c r="G20" i="5"/>
  <c r="AQ20" i="5" s="1"/>
  <c r="H20" i="5" s="1"/>
  <c r="F18" i="5"/>
  <c r="G18" i="5"/>
  <c r="AQ18" i="5" s="1"/>
  <c r="I18" i="5" s="1"/>
  <c r="F15" i="5"/>
  <c r="G15" i="5"/>
  <c r="AQ15" i="5" s="1"/>
  <c r="I15" i="5" s="1"/>
  <c r="F16" i="5"/>
  <c r="G16" i="5"/>
  <c r="AQ16" i="5" s="1"/>
  <c r="H16" i="5" s="1"/>
  <c r="F17" i="5"/>
  <c r="G17" i="5"/>
  <c r="AQ17" i="5" s="1"/>
  <c r="H17" i="5" s="1"/>
  <c r="F19" i="5"/>
  <c r="G19" i="5"/>
  <c r="AQ19" i="5" s="1"/>
  <c r="I19" i="5" s="1"/>
  <c r="F14" i="5"/>
  <c r="G14" i="5"/>
  <c r="AQ14" i="5" s="1"/>
  <c r="H14" i="5" s="1"/>
  <c r="F10" i="5"/>
  <c r="G10" i="5"/>
  <c r="AQ10" i="5" s="1"/>
  <c r="I10" i="5" s="1"/>
  <c r="F11" i="5"/>
  <c r="G11" i="5"/>
  <c r="AQ11" i="5" s="1"/>
  <c r="I11" i="5" s="1"/>
  <c r="F12" i="5"/>
  <c r="G12" i="5"/>
  <c r="AQ12" i="5" s="1"/>
  <c r="H12" i="5" s="1"/>
  <c r="F13" i="5"/>
  <c r="F8" i="5"/>
  <c r="F9" i="5"/>
  <c r="G8" i="5"/>
  <c r="AQ8" i="5" s="1"/>
  <c r="G9" i="5"/>
  <c r="AQ9" i="5" s="1"/>
  <c r="I9" i="5" s="1"/>
  <c r="G6" i="5"/>
  <c r="I20" i="5" l="1"/>
  <c r="I16" i="5"/>
  <c r="H18" i="5"/>
  <c r="H19" i="5"/>
  <c r="I14" i="5"/>
  <c r="K14" i="5" s="1"/>
  <c r="H15" i="5"/>
  <c r="I17" i="5"/>
  <c r="K10" i="5"/>
  <c r="H10" i="5"/>
  <c r="AR10" i="5" s="1"/>
  <c r="K11" i="5"/>
  <c r="H11" i="5"/>
  <c r="AR11" i="5" s="1"/>
  <c r="I12" i="5"/>
  <c r="H13" i="5"/>
  <c r="I13" i="5"/>
  <c r="K9" i="5"/>
  <c r="I8" i="5"/>
  <c r="H8" i="5"/>
  <c r="H9" i="5"/>
  <c r="AR9" i="5" s="1"/>
  <c r="K20" i="5" l="1"/>
  <c r="AR20" i="5"/>
  <c r="AR14" i="5"/>
  <c r="K18" i="5"/>
  <c r="AR18" i="5"/>
  <c r="K15" i="5"/>
  <c r="AR15" i="5"/>
  <c r="K16" i="5"/>
  <c r="AR16" i="5"/>
  <c r="K17" i="5"/>
  <c r="AR17" i="5"/>
  <c r="K19" i="5"/>
  <c r="AR19" i="5"/>
  <c r="K12" i="5"/>
  <c r="AR12" i="5"/>
  <c r="K13" i="5"/>
  <c r="AR13" i="5"/>
  <c r="K8" i="5"/>
  <c r="AR8" i="5"/>
  <c r="AP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G7" i="5"/>
  <c r="AQ7" i="5" s="1"/>
  <c r="F6" i="5"/>
  <c r="F7" i="5"/>
  <c r="I7" i="5" l="1"/>
  <c r="H7" i="5"/>
  <c r="AQ6" i="5"/>
  <c r="X21" i="5"/>
  <c r="Y21" i="5"/>
  <c r="Z21" i="5"/>
  <c r="AA21" i="5"/>
  <c r="AB21" i="5"/>
  <c r="AE21" i="5"/>
  <c r="AF21" i="5"/>
  <c r="AG21" i="5"/>
  <c r="AH21" i="5"/>
  <c r="AI21" i="5"/>
  <c r="AJ21" i="5"/>
  <c r="AK21" i="5"/>
  <c r="AL21" i="5"/>
  <c r="AM21" i="5"/>
  <c r="AN21" i="5"/>
  <c r="AO21" i="5"/>
  <c r="W21" i="5"/>
  <c r="M21" i="5"/>
  <c r="N21" i="5"/>
  <c r="O21" i="5"/>
  <c r="P21" i="5"/>
  <c r="Q21" i="5"/>
  <c r="R21" i="5"/>
  <c r="S21" i="5"/>
  <c r="T21" i="5"/>
  <c r="U21" i="5"/>
  <c r="V21" i="5"/>
  <c r="L21" i="5"/>
  <c r="I6" i="5" l="1"/>
  <c r="H6" i="5"/>
  <c r="K7" i="5"/>
  <c r="AR7" i="5" l="1"/>
  <c r="K6" i="5"/>
  <c r="AR6" i="5"/>
  <c r="H21" i="5"/>
  <c r="B9" i="5"/>
  <c r="I21" i="5"/>
  <c r="B28" i="5"/>
  <c r="B24" i="5"/>
  <c r="AR21" i="5" l="1"/>
  <c r="K21" i="5"/>
  <c r="B6" i="5"/>
</calcChain>
</file>

<file path=xl/sharedStrings.xml><?xml version="1.0" encoding="utf-8"?>
<sst xmlns="http://schemas.openxmlformats.org/spreadsheetml/2006/main" count="305" uniqueCount="134">
  <si>
    <t>Onboard date</t>
  </si>
  <si>
    <t>Status</t>
  </si>
  <si>
    <t>Name</t>
  </si>
  <si>
    <t>LWD</t>
  </si>
  <si>
    <t>MONTH</t>
  </si>
  <si>
    <t>YEAR</t>
  </si>
  <si>
    <t>PROJECT</t>
  </si>
  <si>
    <t>July</t>
  </si>
  <si>
    <t>January</t>
  </si>
  <si>
    <t>February</t>
  </si>
  <si>
    <t>March</t>
  </si>
  <si>
    <t>April</t>
  </si>
  <si>
    <t>May</t>
  </si>
  <si>
    <t>June</t>
  </si>
  <si>
    <t>August</t>
  </si>
  <si>
    <t>September</t>
  </si>
  <si>
    <t>October</t>
  </si>
  <si>
    <t>November</t>
  </si>
  <si>
    <t>December</t>
  </si>
  <si>
    <t>Max Billable Hours</t>
  </si>
  <si>
    <t>Actual Hours</t>
  </si>
  <si>
    <t>Rate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</si>
  <si>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</si>
  <si>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</si>
  <si>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</si>
  <si>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</si>
  <si>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</si>
  <si>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</si>
  <si>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</si>
  <si>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</si>
  <si>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</si>
  <si>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</si>
  <si>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</si>
  <si>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</si>
  <si>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</si>
  <si>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</si>
  <si>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</si>
  <si>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</si>
  <si>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</si>
  <si>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</si>
  <si>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</si>
  <si>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</si>
  <si>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</si>
  <si>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</si>
  <si>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</si>
  <si>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</si>
  <si>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</si>
  <si>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</si>
  <si>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</si>
  <si>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</si>
  <si>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</si>
  <si>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</si>
  <si>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</si>
  <si>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Months</t>
  </si>
  <si>
    <t>Year</t>
  </si>
  <si>
    <t>#</t>
  </si>
  <si>
    <t>Max Billable</t>
  </si>
  <si>
    <t>Total Bill</t>
  </si>
  <si>
    <t>Total</t>
  </si>
  <si>
    <t>WO</t>
  </si>
  <si>
    <t>H</t>
  </si>
  <si>
    <t>Active</t>
  </si>
  <si>
    <t>Week off for Saturday and Sundays</t>
  </si>
  <si>
    <t>When the team member has taken an off</t>
  </si>
  <si>
    <t>Public or National Holiday</t>
  </si>
  <si>
    <t>INSTRUCTIONS</t>
  </si>
  <si>
    <t>Please use these codes appropriately in the timesheet</t>
  </si>
  <si>
    <t>OFF</t>
  </si>
  <si>
    <t>Utilisation</t>
  </si>
  <si>
    <t>Billable Hours per day</t>
  </si>
  <si>
    <t>Emp ID</t>
  </si>
  <si>
    <t>Role as per SoW</t>
  </si>
  <si>
    <t>Final Billing Amount</t>
  </si>
  <si>
    <t>Billing %</t>
  </si>
  <si>
    <t>Quality Engineer</t>
  </si>
  <si>
    <t>Analyst</t>
  </si>
  <si>
    <t>Business Analyst</t>
  </si>
  <si>
    <t>Technical Lead</t>
  </si>
  <si>
    <t>Solution Architect</t>
  </si>
  <si>
    <t>Pre Sales Consultant</t>
  </si>
  <si>
    <t>Backend Developer</t>
  </si>
  <si>
    <t>Frontend Developer</t>
  </si>
  <si>
    <t>Automation QA</t>
  </si>
  <si>
    <t>UI/UX Designer</t>
  </si>
  <si>
    <t>Manager</t>
  </si>
  <si>
    <t>Backend Engineer</t>
  </si>
  <si>
    <t>Manual QA</t>
  </si>
  <si>
    <t>1100-1234</t>
  </si>
  <si>
    <t>1100-1235</t>
  </si>
  <si>
    <t>1100-1236</t>
  </si>
  <si>
    <t>1100-1237</t>
  </si>
  <si>
    <t>1100-1238</t>
  </si>
  <si>
    <t>1100-1239</t>
  </si>
  <si>
    <t>1100-1240</t>
  </si>
  <si>
    <t>1100-1241</t>
  </si>
  <si>
    <t>1100-1242</t>
  </si>
  <si>
    <t>1100-1243</t>
  </si>
  <si>
    <t>1100-1244</t>
  </si>
  <si>
    <t>1100-1245</t>
  </si>
  <si>
    <t>1100-1246</t>
  </si>
  <si>
    <t>1100-1247</t>
  </si>
  <si>
    <t>1100-1248</t>
  </si>
  <si>
    <t>1100-1249</t>
  </si>
  <si>
    <t>1100-1250</t>
  </si>
  <si>
    <t>1100-1251</t>
  </si>
  <si>
    <t>1100-1252</t>
  </si>
  <si>
    <t>1100-1253</t>
  </si>
  <si>
    <t>1100-1254</t>
  </si>
  <si>
    <t>1100-1255</t>
  </si>
  <si>
    <t>employee1</t>
  </si>
  <si>
    <t>employee2</t>
  </si>
  <si>
    <t>employee3</t>
  </si>
  <si>
    <t>employee4</t>
  </si>
  <si>
    <t>employee5</t>
  </si>
  <si>
    <t>employee6</t>
  </si>
  <si>
    <t>employee7</t>
  </si>
  <si>
    <t>employee8</t>
  </si>
  <si>
    <t>employee9</t>
  </si>
  <si>
    <t>employee10</t>
  </si>
  <si>
    <t>employee11</t>
  </si>
  <si>
    <t>employee12</t>
  </si>
  <si>
    <t>employee13</t>
  </si>
  <si>
    <t>employee14</t>
  </si>
  <si>
    <t>employee15</t>
  </si>
  <si>
    <t>employee16</t>
  </si>
  <si>
    <t>employee17</t>
  </si>
  <si>
    <t>employee18</t>
  </si>
  <si>
    <t>employee19</t>
  </si>
  <si>
    <t>employee20</t>
  </si>
  <si>
    <t>employee21</t>
  </si>
  <si>
    <t>employee22</t>
  </si>
  <si>
    <t>ProjectX</t>
  </si>
  <si>
    <t>0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</si>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</sst>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1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Segoe UI"/>
      <family val="2"/>
    </font>
    <font>
      <b/>
      <sz val="8"/>
      <color theme="1" tint="0.499984740745262"/>
      <name val="Segoe UI"/>
      <family val="2"/>
    </font>
    <font>
      <sz val="20"/>
      <color theme="8" tint="-0.249977111117893"/>
      <name val="Segoe UI"/>
      <family val="2"/>
    </font>
    <font>
      <b/>
      <sz val="8"/>
      <color theme="8" tint="-0.249977111117893"/>
      <name val="Segoe UI"/>
      <family val="2"/>
    </font>
    <font>
      <b/>
      <sz val="8"/>
      <color theme="1"/>
      <name val="Segoe UI"/>
      <family val="2"/>
    </font>
    <font>
      <b/>
      <sz val="8"/>
      <color theme="7" tint="-0.499984740745262"/>
      <name val="Segoe UI"/>
      <family val="2"/>
    </font>
    <font>
      <b/>
      <sz val="8"/>
      <color theme="9" tint="-0.249977111117893"/>
      <name val="Segoe UI"/>
      <family val="2"/>
    </font>
    <font>
      <sz val="8"/>
      <color rgb="FF000000"/>
      <name val="Segoe UI"/>
      <family val="2"/>
    </font>
    <font>
      <b/>
      <sz val="22"/>
      <color theme="7" tint="-0.499984740745262"/>
      <name val="Calibri"/>
      <family val="2"/>
      <scheme val="minor"/>
    </font>
    <font>
      <b/>
      <sz val="22"/>
      <color theme="4" tint="-0.249977111117893"/>
      <name val="Calibri"/>
      <family val="2"/>
      <scheme val="minor"/>
    </font>
    <font>
      <b/>
      <sz val="22"/>
      <color theme="9" tint="-0.249977111117893"/>
      <name val="Calibri"/>
      <family val="2"/>
      <scheme val="minor"/>
    </font>
    <font>
      <b/>
      <sz val="22"/>
      <color theme="1" tint="0.249977111117893"/>
      <name val="Calibri"/>
      <family val="2"/>
      <scheme val="minor"/>
    </font>
    <font>
      <b/>
      <sz val="22"/>
      <color theme="5" tint="-0.249977111117893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color theme="0"/>
      <name val="Segoe U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39">
    <xf numFmtId="0" fontId="0" fillId="0" borderId="0" xfId="0"/>
    <xf numFmtId="14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3" fillId="0" borderId="0" xfId="0" applyFont="1" applyAlignment="1">
      <alignment horizontal="left" vertical="center"/>
    </xf>
    <xf numFmtId="0" fontId="4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0" fillId="3" borderId="0" xfId="0" applyFill="1"/>
    <xf numFmtId="0" fontId="2" fillId="0" borderId="0" xfId="0" applyFont="1" applyAlignment="1">
      <alignment horizontal="center"/>
    </xf>
    <xf numFmtId="0" fontId="9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0" fontId="15" fillId="0" borderId="0" xfId="0" applyFont="1" applyAlignment="1">
      <alignment horizontal="center" vertical="center"/>
    </xf>
    <xf numFmtId="164" fontId="2" fillId="6" borderId="0" xfId="0" applyNumberFormat="1" applyFont="1" applyFill="1"/>
    <xf numFmtId="0" fontId="2" fillId="7" borderId="0" xfId="0" applyFont="1" applyFill="1" applyAlignment="1">
      <alignment wrapText="1"/>
    </xf>
    <xf numFmtId="164" fontId="16" fillId="7" borderId="0" xfId="0" applyNumberFormat="1" applyFont="1" applyFill="1"/>
    <xf numFmtId="9" fontId="9" fillId="6" borderId="0" xfId="1" applyFont="1" applyFill="1" applyAlignment="1">
      <alignment horizontal="right" vertical="center"/>
    </xf>
    <xf numFmtId="10" fontId="16" fillId="7" borderId="0" xfId="0" applyNumberFormat="1" applyFont="1" applyFill="1" applyAlignment="1">
      <alignment horizontal="right"/>
    </xf>
    <xf numFmtId="0" fontId="7" fillId="3" borderId="0" xfId="0" applyFont="1" applyFill="1"/>
    <xf numFmtId="0" fontId="18" fillId="0" borderId="0" xfId="0" applyFont="1"/>
    <xf numFmtId="9" fontId="9" fillId="6" borderId="0" xfId="0" applyNumberFormat="1" applyFont="1" applyFill="1" applyAlignment="1">
      <alignment horizontal="right" vertical="center"/>
    </xf>
    <xf numFmtId="0" fontId="0" fillId="0" borderId="1" xfId="0" applyBorder="1"/>
    <xf numFmtId="14" fontId="0" fillId="0" borderId="1" xfId="0" applyNumberFormat="1" applyBorder="1"/>
    <xf numFmtId="0" fontId="18" fillId="0" borderId="1" xfId="0" applyFont="1" applyBorder="1"/>
    <xf numFmtId="0" fontId="2" fillId="8" borderId="0" xfId="0" applyFont="1" applyFill="1" applyAlignment="1">
      <alignment horizontal="center" vertical="center"/>
    </xf>
    <xf numFmtId="0" fontId="6" fillId="5" borderId="0" xfId="0" applyFont="1" applyFill="1"/>
    <xf numFmtId="10" fontId="14" fillId="5" borderId="0" xfId="0" applyNumberFormat="1" applyFont="1" applyFill="1" applyAlignment="1">
      <alignment horizontal="right"/>
    </xf>
    <xf numFmtId="0" fontId="6" fillId="0" borderId="0" xfId="0" applyFont="1"/>
    <xf numFmtId="164" fontId="13" fillId="0" borderId="0" xfId="0" applyNumberFormat="1" applyFont="1" applyAlignment="1">
      <alignment horizontal="right"/>
    </xf>
    <xf numFmtId="10" fontId="13" fillId="0" borderId="0" xfId="0" applyNumberFormat="1" applyFont="1" applyAlignment="1">
      <alignment horizontal="right"/>
    </xf>
    <xf numFmtId="0" fontId="11" fillId="4" borderId="0" xfId="0" applyFont="1" applyFill="1" applyAlignment="1">
      <alignment horizontal="right"/>
    </xf>
    <xf numFmtId="0" fontId="8" fillId="2" borderId="0" xfId="0" applyFont="1" applyFill="1"/>
    <xf numFmtId="164" fontId="12" fillId="2" borderId="0" xfId="0" applyNumberFormat="1" applyFont="1" applyFill="1" applyAlignment="1">
      <alignment horizontal="right"/>
    </xf>
    <xf numFmtId="0" fontId="12" fillId="2" borderId="0" xfId="0" applyFont="1" applyFill="1" applyAlignment="1">
      <alignment horizontal="right"/>
    </xf>
    <xf numFmtId="0" fontId="7" fillId="3" borderId="0" xfId="0" applyFont="1" applyFill="1"/>
    <xf numFmtId="0" fontId="10" fillId="3" borderId="0" xfId="0" applyFont="1" applyFill="1" applyAlignment="1">
      <alignment horizontal="right"/>
    </xf>
    <xf numFmtId="0" fontId="6" fillId="4" borderId="0" xfId="0" applyFont="1" applyFill="1"/>
    <xf numFmtId="0" fontId="9" fillId="0" borderId="0" xfId="0" applyFont="1"/>
  </cellXfs>
  <cellStyles count="2">
    <cellStyle name="Normal" xfId="0" builtinId="0"/>
    <cellStyle name="Percent" xfId="1" builtinId="5"/>
  </cellStyles>
  <dxfs count="9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Segoe UI"/>
        <family val="2"/>
        <scheme val="none"/>
      </font>
      <numFmt numFmtId="14" formatCode="0.00%"/>
      <fill>
        <patternFill patternType="solid">
          <fgColor indexed="64"/>
          <bgColor theme="9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Segoe UI"/>
        <family val="2"/>
        <scheme val="none"/>
      </font>
      <numFmt numFmtId="164" formatCode="[$$-409]#,##0.00"/>
      <fill>
        <patternFill patternType="solid">
          <fgColor indexed="64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1" tint="0.499984740745262"/>
      </font>
      <fill>
        <patternFill>
          <bgColor theme="0" tint="-4.9989318521683403E-2"/>
        </patternFill>
      </fill>
    </dxf>
    <dxf>
      <font>
        <color rgb="FFFF0066"/>
      </font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ont>
        <color theme="0"/>
      </font>
      <fill>
        <patternFill>
          <bgColor rgb="FFFF0066"/>
        </patternFill>
      </fill>
    </dxf>
    <dxf>
      <numFmt numFmtId="165" formatCode="dd/mm/yyyy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164" formatCode="[$$-409]#,##0.00"/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164" formatCode="[$$-409]#,##0.0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</dxfs>
  <tableStyles count="0" defaultTableStyle="TableStyleMedium2" defaultPivotStyle="PivotStyleLight16"/>
  <colors>
    <mruColors>
      <color rgb="FFFF539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6BD8C17-1601-4130-BC1E-DD75642252C4}" name="Table27" displayName="Table27" ref="E5:AS21" totalsRowCount="1" headerRowDxfId="90" dataDxfId="89">
  <tableColumns count="41">
    <tableColumn id="40" xr3:uid="{0A54AE2F-C256-4AA4-81C3-E00ACCC76EC8}" name="Emp ID" dataDxfId="88" totalsRowDxfId="40"/>
    <tableColumn id="39" xr3:uid="{9669CAB7-33E5-40E8-9ECD-BFA5F383C0BD}" name="Role as per SoW" dataDxfId="87" totalsRowDxfId="39">
      <calculatedColumnFormula>_xlfn.XLOOKUP(Table27[[#This Row],[Emp ID]],Table1[Emp ID],Table1[Role as per SoW])</calculatedColumnFormula>
    </tableColumn>
    <tableColumn id="1" xr3:uid="{4449859A-55A6-45AA-8A96-FCC6309D5F60}" name="Name" totalsRowLabel="Total" dataDxfId="86" totalsRowDxfId="38">
      <calculatedColumnFormula>_xlfn.XLOOKUP(Table27[[#This Row],[Emp ID]],Table1[Emp ID],Table1[Name])</calculatedColumnFormula>
    </tableColumn>
    <tableColumn id="2" xr3:uid="{25895A40-683C-400E-B977-6736C26F70FF}" name="Max Billable Hours" totalsRowFunction="sum" dataDxfId="85" totalsRowDxfId="37">
      <calculatedColumnFormula>IF(Table27[[#This Row],[Status]]="Active",SUM(COUNT(Table27[[#This Row],[1]:[31]]), COUNTIF(Table27[[#This Row],[1]:[31]],"OFF"))*_xlfn.XLOOKUP(Table27[[#This Row],[Name]],Table1[Name],Table1[Billable Hours per day]),"")</calculatedColumnFormula>
    </tableColumn>
    <tableColumn id="3" xr3:uid="{42257E96-50F7-4B29-B3B1-132233AB2AA6}" name="Actual Hours" totalsRowFunction="sum" dataDxfId="84" totalsRowDxfId="36">
      <calculatedColumnFormula>IF(Table27[[#This Row],[Status]]="Active",SUM(Table27[[#This Row],[1]:[31]]),"")</calculatedColumnFormula>
    </tableColumn>
    <tableColumn id="4" xr3:uid="{C4F1F072-CB0B-4451-B5C6-05FB81DFFC03}" name="Rate" dataDxfId="83" totalsRowDxfId="35"/>
    <tableColumn id="5" xr3:uid="{6E3636B9-97B1-4231-848A-84020E8CD1A3}" name="Final Billing Amount" totalsRowFunction="sum" dataDxfId="82" totalsRowDxfId="34">
      <calculatedColumnFormula>IFERROR(Table27[[#This Row],[Actual Hours]]*Table27[[#This Row],[Rate]],"")</calculatedColumnFormula>
    </tableColumn>
    <tableColumn id="6" xr3:uid="{D4793879-E2F3-472D-8E9B-2105426B8F6B}" name="1" totalsRowFunction="sum" dataDxfId="81" totalsRowDxfId="33"/>
    <tableColumn id="7" xr3:uid="{E486E4A8-41C0-4AFF-BB9A-B45102FE633C}" name="2" totalsRowFunction="sum" dataDxfId="80" totalsRowDxfId="32"/>
    <tableColumn id="8" xr3:uid="{4A4F0742-3816-4B9E-9F0A-7F96C051FEC1}" name="3" totalsRowFunction="sum" dataDxfId="79" totalsRowDxfId="31"/>
    <tableColumn id="9" xr3:uid="{24E6AAA5-D211-40AD-808B-294BCA6071A0}" name="4" totalsRowFunction="sum" dataDxfId="78" totalsRowDxfId="30"/>
    <tableColumn id="10" xr3:uid="{70086128-55FD-4B5D-AE29-F9B280C62589}" name="5" totalsRowFunction="sum" dataDxfId="77" totalsRowDxfId="29"/>
    <tableColumn id="11" xr3:uid="{F86580CD-5B8C-4123-A821-D46F4A6EC4F6}" name="6" totalsRowFunction="sum" dataDxfId="76" totalsRowDxfId="28"/>
    <tableColumn id="12" xr3:uid="{6F961A6F-63D3-4D42-AE89-E86613A2C14F}" name="7" totalsRowFunction="sum" dataDxfId="75" totalsRowDxfId="27"/>
    <tableColumn id="13" xr3:uid="{554D2725-AA19-4B75-A7B9-2A8387E18BDC}" name="8" totalsRowFunction="sum" dataDxfId="74" totalsRowDxfId="26"/>
    <tableColumn id="14" xr3:uid="{63D8B858-12A3-4A0B-A826-BE3186D9F21F}" name="9" totalsRowFunction="sum" dataDxfId="73" totalsRowDxfId="25"/>
    <tableColumn id="15" xr3:uid="{B19FFC3C-59E3-475E-8113-0CE80BFE9635}" name="10" totalsRowFunction="sum" dataDxfId="72" totalsRowDxfId="24"/>
    <tableColumn id="16" xr3:uid="{D5D68AE4-2278-40D7-BFED-A0B492731248}" name="11" totalsRowFunction="sum" dataDxfId="71" totalsRowDxfId="23"/>
    <tableColumn id="17" xr3:uid="{30651372-2451-4B32-ACB6-665FBA20F98B}" name="12" totalsRowFunction="sum" dataDxfId="70" totalsRowDxfId="22"/>
    <tableColumn id="18" xr3:uid="{D0FAAF2E-7D84-4E6B-90D7-80E1E12AFF8B}" name="13" totalsRowFunction="sum" dataDxfId="69" totalsRowDxfId="21"/>
    <tableColumn id="19" xr3:uid="{DA2E8EE3-9D9F-4FCB-B634-0F5CDF5A99C6}" name="14" totalsRowFunction="sum" dataDxfId="68" totalsRowDxfId="20"/>
    <tableColumn id="20" xr3:uid="{27F58B70-B194-47CB-B393-AB8FB149C0CD}" name="15" totalsRowFunction="sum" dataDxfId="67" totalsRowDxfId="19"/>
    <tableColumn id="21" xr3:uid="{A626272B-9B6C-49DD-B884-912D4983CB24}" name="16" totalsRowFunction="sum" dataDxfId="66" totalsRowDxfId="18"/>
    <tableColumn id="22" xr3:uid="{2D327AA4-6E26-4B2B-A188-C61BB78F1A4F}" name="17" totalsRowFunction="sum" dataDxfId="65" totalsRowDxfId="17"/>
    <tableColumn id="23" xr3:uid="{81418BDA-3722-4FD6-A1AC-D19EC0365795}" name="18" totalsRowLabel="0" dataDxfId="64" totalsRowDxfId="16"/>
    <tableColumn id="24" xr3:uid="{748261B7-3B42-48B0-B56D-6066930E4F45}" name="19" totalsRowLabel="0" dataDxfId="63" totalsRowDxfId="15"/>
    <tableColumn id="25" xr3:uid="{27D1FC17-EEA9-4BBA-9BF0-F488BB07BC27}" name="20" totalsRowFunction="sum" dataDxfId="62" totalsRowDxfId="14"/>
    <tableColumn id="26" xr3:uid="{CE5F7E04-EA29-476A-8C04-10311E5AA245}" name="21" totalsRowFunction="sum" dataDxfId="61" totalsRowDxfId="13"/>
    <tableColumn id="27" xr3:uid="{6A1ED293-6B3A-4F5F-878E-BC6852209689}" name="22" totalsRowFunction="sum" dataDxfId="60" totalsRowDxfId="12"/>
    <tableColumn id="28" xr3:uid="{DED4194D-2CE9-4CED-A0E1-5517221173CE}" name="23" totalsRowFunction="sum" dataDxfId="59" totalsRowDxfId="11"/>
    <tableColumn id="29" xr3:uid="{8F702A72-079F-4DDC-8889-42FF1892A8D9}" name="24" totalsRowFunction="sum" dataDxfId="58" totalsRowDxfId="10"/>
    <tableColumn id="30" xr3:uid="{952EC144-0583-4A0E-9606-7D1C67415A11}" name="25" totalsRowFunction="sum" dataDxfId="57" totalsRowDxfId="9"/>
    <tableColumn id="31" xr3:uid="{02E5AB35-203D-45F7-968D-89FFFD7605BD}" name="26" totalsRowFunction="sum" dataDxfId="56" totalsRowDxfId="8"/>
    <tableColumn id="32" xr3:uid="{74C12FEA-BDE5-479D-93E6-E783309D1823}" name="27" totalsRowFunction="sum" dataDxfId="55" totalsRowDxfId="7"/>
    <tableColumn id="33" xr3:uid="{9340BC5C-0231-47F4-BAAB-F3EC43CAB876}" name="28" totalsRowFunction="sum" dataDxfId="54" totalsRowDxfId="6"/>
    <tableColumn id="34" xr3:uid="{3EAF38D2-F687-4B74-91B5-FCEBE8F0AF14}" name="29" totalsRowFunction="sum" dataDxfId="53" totalsRowDxfId="5"/>
    <tableColumn id="35" xr3:uid="{EA5A44B8-FFE4-4939-963A-C719186ADF9D}" name="30" totalsRowFunction="sum" dataDxfId="52" totalsRowDxfId="4"/>
    <tableColumn id="36" xr3:uid="{F4FC74EA-7D3E-4BCD-81C3-3AD31C403124}" name="31" dataDxfId="51" totalsRowDxfId="3"/>
    <tableColumn id="38" xr3:uid="{04D5C202-3AEB-4435-9159-2F359239778C}" name="Status" dataDxfId="50" totalsRowDxfId="2">
      <calculatedColumnFormula>_xlfn.IFNA(_xlfn.XLOOKUP(Table27[[#This Row],[Name]],Table1[Name],Table1[Status]),"")</calculatedColumnFormula>
    </tableColumn>
    <tableColumn id="37" xr3:uid="{CF7A8946-2CDE-4C23-8580-6C1FEFBCBE31}" name="Billing %" totalsRowFunction="custom" dataDxfId="49" totalsRowDxfId="1">
      <calculatedColumnFormula>Table27[[#This Row],[Actual Hours]]/Table27[[#This Row],[Max Billable Hours]]</calculatedColumnFormula>
      <totalsRowFormula>Table27[[#Totals],[Actual Hours]]/Table27[[#Totals],[Max Billable Hours]]</totalsRowFormula>
    </tableColumn>
    <tableColumn id="41" xr3:uid="{564CFFE4-041D-EA42-91CE-7E2B074AFE9C}" name="Cost" dataDxfId="41" totalsRowDxfId="0"/>
  </tableColumns>
  <tableStyleInfo name="TableStyleLight9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48ED94-4C1C-4B38-9DD4-B425B3066A80}" name="Table1" displayName="Table1" ref="B1:H24" totalsRowShown="0">
  <autoFilter ref="B1:H24" xr:uid="{5A48ED94-4C1C-4B38-9DD4-B425B3066A80}"/>
  <tableColumns count="7">
    <tableColumn id="7" xr3:uid="{B318C1B5-DDBA-40C0-AEBF-DD0C8A713529}" name="Emp ID"/>
    <tableColumn id="1" xr3:uid="{61F66100-680B-43D4-9643-C6580DB98E19}" name="Name"/>
    <tableColumn id="2" xr3:uid="{1F30959A-FED7-4B38-99D5-577C9DC6ADAE}" name="Role as per SoW"/>
    <tableColumn id="3" xr3:uid="{A55B2A4F-0240-4914-A04B-C9F5FB352057}" name="Onboard date" dataDxfId="48"/>
    <tableColumn id="4" xr3:uid="{339185EB-1D1C-416C-A786-1371EE5CAED8}" name="Status"/>
    <tableColumn id="5" xr3:uid="{FD8EC05C-4379-49DC-8B99-679FAC8FE7DF}" name="LWD"/>
    <tableColumn id="6" xr3:uid="{A16E1008-E82E-4B63-9D13-91E4A58BEC57}" name="Billable Hours per day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EA0F65-33AF-4D56-928F-C98D36D5E267}" name="Table3" displayName="Table3" ref="B1:C13" totalsRowShown="0">
  <autoFilter ref="B1:C13" xr:uid="{DFEA0F65-33AF-4D56-928F-C98D36D5E267}"/>
  <tableColumns count="2">
    <tableColumn id="1" xr3:uid="{CCC27306-700F-4E94-81DE-1B5DED75E371}" name="Months"/>
    <tableColumn id="2" xr3:uid="{C949EA58-1ABC-4BCE-A641-B76D01C4E1E5}" name="#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E7C13B-20FE-4B30-A3CB-D0659049080F}" name="Table4" displayName="Table4" ref="E1:E5" totalsRowShown="0">
  <autoFilter ref="E1:E5" xr:uid="{F6E7C13B-20FE-4B30-A3CB-D0659049080F}"/>
  <tableColumns count="1">
    <tableColumn id="1" xr3:uid="{866BA331-6A22-4C53-873D-472A8D73C74C}" name="Yea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BA979-ED4F-4900-B38B-FEA01C46893E}">
  <dimension ref="D2:F7"/>
  <sheetViews>
    <sheetView workbookViewId="0">
      <selection activeCell="E34" sqref="E34"/>
    </sheetView>
  </sheetViews>
  <sheetFormatPr baseColWidth="10" defaultColWidth="8.83203125" defaultRowHeight="15" x14ac:dyDescent="0.2"/>
  <cols>
    <col min="5" max="5" width="38.1640625" bestFit="1" customWidth="1"/>
  </cols>
  <sheetData>
    <row r="2" spans="4:6" x14ac:dyDescent="0.2">
      <c r="D2" t="s">
        <v>65</v>
      </c>
    </row>
    <row r="4" spans="4:6" x14ac:dyDescent="0.2">
      <c r="D4" s="9" t="s">
        <v>66</v>
      </c>
      <c r="E4" s="9"/>
      <c r="F4" s="9"/>
    </row>
    <row r="5" spans="4:6" x14ac:dyDescent="0.2">
      <c r="D5" t="s">
        <v>59</v>
      </c>
      <c r="E5" t="s">
        <v>62</v>
      </c>
    </row>
    <row r="6" spans="4:6" x14ac:dyDescent="0.2">
      <c r="D6" t="s">
        <v>67</v>
      </c>
      <c r="E6" t="s">
        <v>63</v>
      </c>
    </row>
    <row r="7" spans="4:6" x14ac:dyDescent="0.2">
      <c r="D7" t="s">
        <v>60</v>
      </c>
      <c r="E7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1F21F-45DF-4822-809D-7911E0AE1032}">
  <dimension ref="B1:AS33"/>
  <sheetViews>
    <sheetView showGridLines="0" tabSelected="1" zoomScale="98" zoomScaleNormal="125" workbookViewId="0">
      <pane xSplit="11" ySplit="5" topLeftCell="T6" activePane="bottomRight" state="frozen"/>
      <selection pane="topRight" activeCell="L1" sqref="L1"/>
      <selection pane="bottomLeft" activeCell="A6" sqref="A6"/>
      <selection pane="bottomRight" activeCell="AS21" sqref="AS21"/>
    </sheetView>
  </sheetViews>
  <sheetFormatPr baseColWidth="10" defaultColWidth="8.83203125" defaultRowHeight="15" x14ac:dyDescent="0.2"/>
  <cols>
    <col min="1" max="1" width="1.5" customWidth="1"/>
    <col min="2" max="2" width="16.83203125" customWidth="1"/>
    <col min="3" max="3" width="10.1640625" bestFit="1" customWidth="1"/>
    <col min="4" max="4" width="1.1640625" customWidth="1"/>
    <col min="5" max="5" width="8.5" customWidth="1"/>
    <col min="6" max="6" width="7.5" customWidth="1"/>
    <col min="7" max="7" width="12.6640625" customWidth="1"/>
    <col min="8" max="8" width="4.33203125" customWidth="1"/>
    <col min="9" max="9" width="4.6640625" customWidth="1"/>
    <col min="10" max="10" width="6.5" customWidth="1"/>
    <col min="11" max="11" width="9.33203125" customWidth="1"/>
    <col min="12" max="12" width="3.6640625" bestFit="1" customWidth="1"/>
    <col min="13" max="37" width="6.5" customWidth="1"/>
    <col min="38" max="38" width="5.5" customWidth="1"/>
    <col min="39" max="39" width="6" customWidth="1"/>
    <col min="40" max="40" width="6.33203125" customWidth="1"/>
    <col min="41" max="41" width="5.83203125" customWidth="1"/>
    <col min="42" max="42" width="5.1640625" customWidth="1"/>
    <col min="43" max="43" width="8.83203125" customWidth="1"/>
  </cols>
  <sheetData>
    <row r="1" spans="2:45" x14ac:dyDescent="0.2">
      <c r="B1" s="4" t="s">
        <v>4</v>
      </c>
      <c r="C1" s="4" t="s">
        <v>5</v>
      </c>
      <c r="E1" s="4" t="s">
        <v>6</v>
      </c>
    </row>
    <row r="2" spans="2:45" ht="28" x14ac:dyDescent="0.35">
      <c r="B2" s="5" t="s">
        <v>11</v>
      </c>
      <c r="C2" s="5">
        <v>2024</v>
      </c>
      <c r="E2" s="5" t="s">
        <v>131</v>
      </c>
      <c r="G2" s="1"/>
    </row>
    <row r="4" spans="2:45" x14ac:dyDescent="0.2">
      <c r="J4" s="8"/>
      <c r="K4" s="8"/>
      <c r="L4" s="8" t="str">
        <f>UPPER(TEXT(DATE($C$2,_xlfn.XLOOKUP($B$2,Data!$B$2:$B$13,Data!$C$2:$C$13),Table27[[#Headers],[1]]),"DDD"))</f>
        <v>MON</v>
      </c>
      <c r="M4" s="8" t="str">
        <f>UPPER(TEXT(DATE($C$2,_xlfn.XLOOKUP($B$2,Data!$B$2:$B$13,Data!$C$2:$C$13),Table27[[#Headers],[2]]),"DDD"))</f>
        <v>TUE</v>
      </c>
      <c r="N4" s="8" t="str">
        <f>UPPER(TEXT(DATE($C$2,_xlfn.XLOOKUP($B$2,Data!$B$2:$B$13,Data!$C$2:$C$13),Table27[[#Headers],[3]]),"DDD"))</f>
        <v>WED</v>
      </c>
      <c r="O4" s="8" t="str">
        <f>UPPER(TEXT(DATE($C$2,_xlfn.XLOOKUP($B$2,Data!$B$2:$B$13,Data!$C$2:$C$13),Table27[[#Headers],[4]]),"DDD"))</f>
        <v>THU</v>
      </c>
      <c r="P4" s="8" t="str">
        <f>UPPER(TEXT(DATE($C$2,_xlfn.XLOOKUP($B$2,Data!$B$2:$B$13,Data!$C$2:$C$13),Table27[[#Headers],[5]]),"DDD"))</f>
        <v>FRI</v>
      </c>
      <c r="Q4" s="8" t="str">
        <f>UPPER(TEXT(DATE($C$2,_xlfn.XLOOKUP($B$2,Data!$B$2:$B$13,Data!$C$2:$C$13),Table27[[#Headers],[6]]),"DDD"))</f>
        <v>SAT</v>
      </c>
      <c r="R4" s="8" t="str">
        <f>UPPER(TEXT(DATE($C$2,_xlfn.XLOOKUP($B$2,Data!$B$2:$B$13,Data!$C$2:$C$13),Table27[[#Headers],[7]]),"DDD"))</f>
        <v>SUN</v>
      </c>
      <c r="S4" s="8" t="str">
        <f>UPPER(TEXT(DATE($C$2,_xlfn.XLOOKUP($B$2,Data!$B$2:$B$13,Data!$C$2:$C$13),Table27[[#Headers],[8]]),"DDD"))</f>
        <v>MON</v>
      </c>
      <c r="T4" s="8" t="str">
        <f>UPPER(TEXT(DATE($C$2,_xlfn.XLOOKUP($B$2,Data!$B$2:$B$13,Data!$C$2:$C$13),Table27[[#Headers],[9]]),"DDD"))</f>
        <v>TUE</v>
      </c>
      <c r="U4" s="8" t="str">
        <f>UPPER(TEXT(DATE($C$2,_xlfn.XLOOKUP($B$2,Data!$B$2:$B$13,Data!$C$2:$C$13),Table27[[#Headers],[10]]),"DDD"))</f>
        <v>WED</v>
      </c>
      <c r="V4" s="8" t="str">
        <f>UPPER(TEXT(DATE($C$2,_xlfn.XLOOKUP($B$2,Data!$B$2:$B$13,Data!$C$2:$C$13),Table27[[#Headers],[11]]),"DDD"))</f>
        <v>THU</v>
      </c>
      <c r="W4" s="8" t="str">
        <f>UPPER(TEXT(DATE($C$2,_xlfn.XLOOKUP($B$2,Data!$B$2:$B$13,Data!$C$2:$C$13),Table27[[#Headers],[12]]),"DDD"))</f>
        <v>FRI</v>
      </c>
      <c r="X4" s="8" t="str">
        <f>UPPER(TEXT(DATE($C$2,_xlfn.XLOOKUP($B$2,Data!$B$2:$B$13,Data!$C$2:$C$13),Table27[[#Headers],[13]]),"DDD"))</f>
        <v>SAT</v>
      </c>
      <c r="Y4" s="8" t="str">
        <f>UPPER(TEXT(DATE($C$2,_xlfn.XLOOKUP($B$2,Data!$B$2:$B$13,Data!$C$2:$C$13),Table27[[#Headers],[14]]),"DDD"))</f>
        <v>SUN</v>
      </c>
      <c r="Z4" s="8" t="str">
        <f>UPPER(TEXT(DATE($C$2,_xlfn.XLOOKUP($B$2,Data!$B$2:$B$13,Data!$C$2:$C$13),Table27[[#Headers],[15]]),"DDD"))</f>
        <v>MON</v>
      </c>
      <c r="AA4" s="8" t="str">
        <f>UPPER(TEXT(DATE($C$2,_xlfn.XLOOKUP($B$2,Data!$B$2:$B$13,Data!$C$2:$C$13),Table27[[#Headers],[16]]),"DDD"))</f>
        <v>TUE</v>
      </c>
      <c r="AB4" s="8" t="str">
        <f>UPPER(TEXT(DATE($C$2,_xlfn.XLOOKUP($B$2,Data!$B$2:$B$13,Data!$C$2:$C$13),Table27[[#Headers],[17]]),"DDD"))</f>
        <v>WED</v>
      </c>
      <c r="AC4" s="8" t="str">
        <f>UPPER(TEXT(DATE($C$2,_xlfn.XLOOKUP($B$2,Data!$B$2:$B$13,Data!$C$2:$C$13),Table27[[#Headers],[18]]),"DDD"))</f>
        <v>THU</v>
      </c>
      <c r="AD4" s="8" t="str">
        <f>UPPER(TEXT(DATE($C$2,_xlfn.XLOOKUP($B$2,Data!$B$2:$B$13,Data!$C$2:$C$13),Table27[[#Headers],[19]]),"DDD"))</f>
        <v>FRI</v>
      </c>
      <c r="AE4" s="8" t="str">
        <f>UPPER(TEXT(DATE($C$2,_xlfn.XLOOKUP($B$2,Data!$B$2:$B$13,Data!$C$2:$C$13),Table27[[#Headers],[20]]),"DDD"))</f>
        <v>SAT</v>
      </c>
      <c r="AF4" s="8" t="str">
        <f>UPPER(TEXT(DATE($C$2,_xlfn.XLOOKUP($B$2,Data!$B$2:$B$13,Data!$C$2:$C$13),Table27[[#Headers],[21]]),"DDD"))</f>
        <v>SUN</v>
      </c>
      <c r="AG4" s="8" t="str">
        <f>UPPER(TEXT(DATE($C$2,_xlfn.XLOOKUP($B$2,Data!$B$2:$B$13,Data!$C$2:$C$13),Table27[[#Headers],[22]]),"DDD"))</f>
        <v>MON</v>
      </c>
      <c r="AH4" s="8" t="str">
        <f>UPPER(TEXT(DATE($C$2,_xlfn.XLOOKUP($B$2,Data!$B$2:$B$13,Data!$C$2:$C$13),Table27[[#Headers],[23]]),"DDD"))</f>
        <v>TUE</v>
      </c>
      <c r="AI4" s="8" t="str">
        <f>UPPER(TEXT(DATE($C$2,_xlfn.XLOOKUP($B$2,Data!$B$2:$B$13,Data!$C$2:$C$13),Table27[[#Headers],[24]]),"DDD"))</f>
        <v>WED</v>
      </c>
      <c r="AJ4" s="8" t="str">
        <f>UPPER(TEXT(DATE($C$2,_xlfn.XLOOKUP($B$2,Data!$B$2:$B$13,Data!$C$2:$C$13),Table27[[#Headers],[25]]),"DDD"))</f>
        <v>THU</v>
      </c>
      <c r="AK4" s="8" t="str">
        <f>UPPER(TEXT(DATE($C$2,_xlfn.XLOOKUP($B$2,Data!$B$2:$B$13,Data!$C$2:$C$13),Table27[[#Headers],[26]]),"DDD"))</f>
        <v>FRI</v>
      </c>
      <c r="AL4" s="8" t="str">
        <f>UPPER(TEXT(DATE($C$2,_xlfn.XLOOKUP($B$2,Data!$B$2:$B$13,Data!$C$2:$C$13),Table27[[#Headers],[27]]),"DDD"))</f>
        <v>SAT</v>
      </c>
      <c r="AM4" s="8" t="str">
        <f>UPPER(TEXT(DATE($C$2,_xlfn.XLOOKUP($B$2,Data!$B$2:$B$13,Data!$C$2:$C$13),Table27[[#Headers],[28]]),"DDD"))</f>
        <v>SUN</v>
      </c>
      <c r="AN4" s="8" t="str">
        <f>UPPER(TEXT(DATE($C$2,_xlfn.XLOOKUP($B$2,Data!$B$2:$B$13,Data!$C$2:$C$13),Table27[[#Headers],[29]]),"DDD"))</f>
        <v>MON</v>
      </c>
      <c r="AO4" s="8" t="str">
        <f>UPPER(TEXT(DATE($C$2,_xlfn.XLOOKUP($B$2,Data!$B$2:$B$13,Data!$C$2:$C$13),Table27[[#Headers],[30]]),"DDD"))</f>
        <v>TUE</v>
      </c>
      <c r="AP4" s="8" t="str">
        <f>UPPER(TEXT(DATE($C$2,_xlfn.XLOOKUP($B$2,Data!$B$2:$B$13,Data!$C$2:$C$13),Table27[[#Headers],[24]]),"DDD"))</f>
        <v>WED</v>
      </c>
    </row>
    <row r="5" spans="2:45" ht="28.25" customHeight="1" x14ac:dyDescent="0.2">
      <c r="B5" s="32" t="s">
        <v>57</v>
      </c>
      <c r="C5" s="32"/>
      <c r="E5" s="6" t="s">
        <v>70</v>
      </c>
      <c r="F5" s="6" t="s">
        <v>71</v>
      </c>
      <c r="G5" s="6" t="s">
        <v>2</v>
      </c>
      <c r="H5" s="12" t="s">
        <v>19</v>
      </c>
      <c r="I5" s="12" t="s">
        <v>20</v>
      </c>
      <c r="J5" s="12" t="s">
        <v>21</v>
      </c>
      <c r="K5" s="15" t="s">
        <v>72</v>
      </c>
      <c r="L5" s="13" t="s">
        <v>22</v>
      </c>
      <c r="M5" s="13" t="s">
        <v>23</v>
      </c>
      <c r="N5" s="13" t="s">
        <v>24</v>
      </c>
      <c r="O5" s="13" t="s">
        <v>25</v>
      </c>
      <c r="P5" s="13" t="s">
        <v>26</v>
      </c>
      <c r="Q5" s="13" t="s">
        <v>27</v>
      </c>
      <c r="R5" s="13" t="s">
        <v>28</v>
      </c>
      <c r="S5" s="13" t="s">
        <v>29</v>
      </c>
      <c r="T5" s="13" t="s">
        <v>30</v>
      </c>
      <c r="U5" s="13" t="s">
        <v>31</v>
      </c>
      <c r="V5" s="13" t="s">
        <v>32</v>
      </c>
      <c r="W5" s="13" t="s">
        <v>33</v>
      </c>
      <c r="X5" s="13" t="s">
        <v>34</v>
      </c>
      <c r="Y5" s="13" t="s">
        <v>35</v>
      </c>
      <c r="Z5" s="13" t="s">
        <v>36</v>
      </c>
      <c r="AA5" s="13" t="s">
        <v>37</v>
      </c>
      <c r="AB5" s="13" t="s">
        <v>38</v>
      </c>
      <c r="AC5" s="13" t="s">
        <v>39</v>
      </c>
      <c r="AD5" s="13" t="s">
        <v>40</v>
      </c>
      <c r="AE5" s="13" t="s">
        <v>41</v>
      </c>
      <c r="AF5" s="13" t="s">
        <v>42</v>
      </c>
      <c r="AG5" s="13" t="s">
        <v>43</v>
      </c>
      <c r="AH5" s="13" t="s">
        <v>44</v>
      </c>
      <c r="AI5" s="13" t="s">
        <v>45</v>
      </c>
      <c r="AJ5" s="13" t="s">
        <v>46</v>
      </c>
      <c r="AK5" s="13" t="s">
        <v>47</v>
      </c>
      <c r="AL5" s="13" t="s">
        <v>48</v>
      </c>
      <c r="AM5" s="13" t="s">
        <v>49</v>
      </c>
      <c r="AN5" s="13" t="s">
        <v>50</v>
      </c>
      <c r="AO5" s="13" t="s">
        <v>51</v>
      </c>
      <c r="AP5" s="13" t="s">
        <v>52</v>
      </c>
      <c r="AQ5" s="10" t="s">
        <v>1</v>
      </c>
      <c r="AR5" s="15" t="s">
        <v>73</v>
      </c>
      <c r="AS5" s="2" t="s">
        <v>133</v>
      </c>
    </row>
    <row r="6" spans="2:45" ht="39" customHeight="1" x14ac:dyDescent="0.35">
      <c r="B6" s="33">
        <f>SUM(Table27[Final Billing Amount])</f>
        <v>80264</v>
      </c>
      <c r="C6" s="34"/>
      <c r="E6" s="20" t="s">
        <v>87</v>
      </c>
      <c r="F6" s="11" t="str">
        <f>_xlfn.XLOOKUP(Table27[[#This Row],[Emp ID]],Table1[Emp ID],Table1[Role as per SoW])</f>
        <v>Business Analyst</v>
      </c>
      <c r="G6" s="2" t="str">
        <f>_xlfn.XLOOKUP(Table27[[#This Row],[Emp ID]],Table1[Emp ID],Table1[Name])</f>
        <v>employee1</v>
      </c>
      <c r="H6" s="2">
        <f>IF(Table27[[#This Row],[Status]]="Active",SUM(COUNT(Table27[[#This Row],[1]:[31]]), COUNTIF(Table27[[#This Row],[1]:[31]],"OFF"))*_xlfn.XLOOKUP(Table27[[#This Row],[Name]],Table1[Name],Table1[Billable Hours per day]),"")</f>
        <v>184</v>
      </c>
      <c r="I6" s="2">
        <f>IF(Table27[[#This Row],[Status]]="Active",SUM(Table27[[#This Row],[1]:[31]]),"")</f>
        <v>184</v>
      </c>
      <c r="J6" s="3">
        <v>30</v>
      </c>
      <c r="K6" s="14">
        <f>IFERROR(Table27[[#This Row],[Actual Hours]]*Table27[[#This Row],[Rate]],"")</f>
        <v>5520</v>
      </c>
      <c r="L6" s="7">
        <v>8</v>
      </c>
      <c r="M6" s="7">
        <v>8</v>
      </c>
      <c r="N6" s="7">
        <v>8</v>
      </c>
      <c r="O6" s="7">
        <v>8</v>
      </c>
      <c r="P6" s="7">
        <v>8</v>
      </c>
      <c r="Q6" s="7">
        <v>8</v>
      </c>
      <c r="R6" s="7" t="s">
        <v>59</v>
      </c>
      <c r="S6" s="7">
        <v>8</v>
      </c>
      <c r="T6" s="7">
        <v>8</v>
      </c>
      <c r="U6" s="7">
        <v>8</v>
      </c>
      <c r="V6" s="7">
        <v>8</v>
      </c>
      <c r="W6" s="7">
        <v>8</v>
      </c>
      <c r="X6" s="7" t="s">
        <v>59</v>
      </c>
      <c r="Y6" s="25" t="s">
        <v>59</v>
      </c>
      <c r="Z6" s="25">
        <v>8</v>
      </c>
      <c r="AA6" s="7">
        <v>8</v>
      </c>
      <c r="AB6" s="7">
        <v>8</v>
      </c>
      <c r="AC6" s="7">
        <v>8</v>
      </c>
      <c r="AD6" s="7">
        <v>8</v>
      </c>
      <c r="AE6" s="7" t="s">
        <v>59</v>
      </c>
      <c r="AF6" s="25" t="s">
        <v>59</v>
      </c>
      <c r="AG6" s="25">
        <v>8</v>
      </c>
      <c r="AH6" s="7">
        <v>8</v>
      </c>
      <c r="AI6" s="7">
        <v>8</v>
      </c>
      <c r="AJ6" s="7">
        <v>8</v>
      </c>
      <c r="AK6" s="7">
        <v>8</v>
      </c>
      <c r="AL6" s="7" t="s">
        <v>59</v>
      </c>
      <c r="AM6" s="25" t="s">
        <v>59</v>
      </c>
      <c r="AN6" s="25">
        <v>8</v>
      </c>
      <c r="AO6" s="7">
        <v>8</v>
      </c>
      <c r="AP6" s="7"/>
      <c r="AQ6" s="7" t="str">
        <f>_xlfn.IFNA(_xlfn.XLOOKUP(Table27[[#This Row],[Name]],Table1[Name],Table1[Status]),"")</f>
        <v>Active</v>
      </c>
      <c r="AR6" s="17">
        <f>Table27[[#This Row],[Actual Hours]]/Table27[[#This Row],[Max Billable Hours]]</f>
        <v>1</v>
      </c>
      <c r="AS6" s="38">
        <v>20</v>
      </c>
    </row>
    <row r="7" spans="2:45" x14ac:dyDescent="0.2">
      <c r="B7" s="35" t="s">
        <v>56</v>
      </c>
      <c r="C7" s="35"/>
      <c r="E7" s="20" t="s">
        <v>88</v>
      </c>
      <c r="F7" s="11" t="str">
        <f>_xlfn.XLOOKUP(Table27[[#This Row],[Emp ID]],Table1[Emp ID],Table1[Role as per SoW])</f>
        <v>Business Analyst</v>
      </c>
      <c r="G7" s="2" t="str">
        <f>_xlfn.XLOOKUP(Table27[[#This Row],[Emp ID]],Table1[Emp ID],Table1[Name])</f>
        <v>employee2</v>
      </c>
      <c r="H7" s="2">
        <f>IF(Table27[[#This Row],[Status]]="Active",SUM(COUNT(Table27[[#This Row],[1]:[31]]), COUNTIF(Table27[[#This Row],[1]:[31]],"OFF"))*_xlfn.XLOOKUP(Table27[[#This Row],[Name]],Table1[Name],Table1[Billable Hours per day]),"")</f>
        <v>176</v>
      </c>
      <c r="I7" s="2">
        <f>IF(Table27[[#This Row],[Status]]="Active",SUM(Table27[[#This Row],[1]:[31]]),"")</f>
        <v>176</v>
      </c>
      <c r="J7" s="3">
        <v>30</v>
      </c>
      <c r="K7" s="14">
        <f>IFERROR(Table27[[#This Row],[Actual Hours]]*Table27[[#This Row],[Rate]],"")</f>
        <v>5280</v>
      </c>
      <c r="L7" s="7">
        <v>8</v>
      </c>
      <c r="M7" s="7">
        <v>8</v>
      </c>
      <c r="N7" s="7">
        <v>8</v>
      </c>
      <c r="O7" s="7">
        <v>8</v>
      </c>
      <c r="P7" s="7">
        <v>8</v>
      </c>
      <c r="Q7" s="7" t="s">
        <v>59</v>
      </c>
      <c r="R7" s="7" t="s">
        <v>59</v>
      </c>
      <c r="S7" s="7">
        <v>8</v>
      </c>
      <c r="T7" s="7">
        <v>8</v>
      </c>
      <c r="U7" s="7">
        <v>8</v>
      </c>
      <c r="V7" s="7">
        <v>8</v>
      </c>
      <c r="W7" s="7">
        <v>8</v>
      </c>
      <c r="X7" s="7" t="s">
        <v>59</v>
      </c>
      <c r="Y7" s="25" t="s">
        <v>59</v>
      </c>
      <c r="Z7" s="25">
        <v>8</v>
      </c>
      <c r="AA7" s="7">
        <v>8</v>
      </c>
      <c r="AB7" s="7">
        <v>8</v>
      </c>
      <c r="AC7" s="7">
        <v>8</v>
      </c>
      <c r="AD7" s="7">
        <v>8</v>
      </c>
      <c r="AE7" s="7" t="s">
        <v>59</v>
      </c>
      <c r="AF7" s="25" t="s">
        <v>59</v>
      </c>
      <c r="AG7" s="25">
        <v>8</v>
      </c>
      <c r="AH7" s="7">
        <v>8</v>
      </c>
      <c r="AI7" s="7">
        <v>8</v>
      </c>
      <c r="AJ7" s="7">
        <v>8</v>
      </c>
      <c r="AK7" s="7">
        <v>8</v>
      </c>
      <c r="AL7" s="7" t="s">
        <v>59</v>
      </c>
      <c r="AM7" s="25" t="s">
        <v>59</v>
      </c>
      <c r="AN7" s="25">
        <v>8</v>
      </c>
      <c r="AO7" s="7">
        <v>8</v>
      </c>
      <c r="AP7" s="7"/>
      <c r="AQ7" s="7" t="str">
        <f>_xlfn.IFNA(_xlfn.XLOOKUP(Table27[[#This Row],[Name]],Table1[Name],Table1[Status]),"")</f>
        <v>Active</v>
      </c>
      <c r="AR7" s="17">
        <f>Table27[[#This Row],[Actual Hours]]/Table27[[#This Row],[Max Billable Hours]]</f>
        <v>1</v>
      </c>
      <c r="AS7" s="38">
        <v>20</v>
      </c>
    </row>
    <row r="8" spans="2:45" x14ac:dyDescent="0.2">
      <c r="B8" s="19"/>
      <c r="C8" s="19"/>
      <c r="E8" s="20" t="s">
        <v>89</v>
      </c>
      <c r="F8" s="11" t="str">
        <f>_xlfn.XLOOKUP(Table27[[#This Row],[Emp ID]],Table1[Emp ID],Table1[Role as per SoW])</f>
        <v>Technical Lead</v>
      </c>
      <c r="G8" s="2" t="str">
        <f>_xlfn.XLOOKUP(Table27[[#This Row],[Emp ID]],Table1[Emp ID],Table1[Name])</f>
        <v>employee3</v>
      </c>
      <c r="H8" s="2">
        <f>IF(Table27[[#This Row],[Status]]="Active",SUM(COUNT(Table27[[#This Row],[1]:[31]]), COUNTIF(Table27[[#This Row],[1]:[31]],"OFF"))*_xlfn.XLOOKUP(Table27[[#This Row],[Name]],Table1[Name],Table1[Billable Hours per day]),"")</f>
        <v>176</v>
      </c>
      <c r="I8" s="2">
        <f>IF(Table27[[#This Row],[Status]]="Active",SUM(Table27[[#This Row],[1]:[31]]),"")</f>
        <v>176</v>
      </c>
      <c r="J8" s="3">
        <v>34</v>
      </c>
      <c r="K8" s="14">
        <f>IFERROR(Table27[[#This Row],[Actual Hours]]*Table27[[#This Row],[Rate]],"")</f>
        <v>5984</v>
      </c>
      <c r="L8" s="7">
        <v>8</v>
      </c>
      <c r="M8" s="7">
        <v>8</v>
      </c>
      <c r="N8" s="7">
        <v>8</v>
      </c>
      <c r="O8" s="7">
        <v>8</v>
      </c>
      <c r="P8" s="7">
        <v>8</v>
      </c>
      <c r="Q8" s="7" t="s">
        <v>59</v>
      </c>
      <c r="R8" s="7" t="s">
        <v>59</v>
      </c>
      <c r="S8" s="7">
        <v>8</v>
      </c>
      <c r="T8" s="7">
        <v>8</v>
      </c>
      <c r="U8" s="7">
        <v>8</v>
      </c>
      <c r="V8" s="7">
        <v>8</v>
      </c>
      <c r="W8" s="7">
        <v>8</v>
      </c>
      <c r="X8" s="7" t="s">
        <v>59</v>
      </c>
      <c r="Y8" s="25" t="s">
        <v>59</v>
      </c>
      <c r="Z8" s="25">
        <v>8</v>
      </c>
      <c r="AA8" s="7">
        <v>8</v>
      </c>
      <c r="AB8" s="7">
        <v>8</v>
      </c>
      <c r="AC8" s="7">
        <v>8</v>
      </c>
      <c r="AD8" s="7">
        <v>8</v>
      </c>
      <c r="AE8" s="7" t="s">
        <v>59</v>
      </c>
      <c r="AF8" s="25" t="s">
        <v>59</v>
      </c>
      <c r="AG8" s="25">
        <v>8</v>
      </c>
      <c r="AH8" s="7">
        <v>8</v>
      </c>
      <c r="AI8" s="7">
        <v>8</v>
      </c>
      <c r="AJ8" s="7">
        <v>8</v>
      </c>
      <c r="AK8" s="7">
        <v>8</v>
      </c>
      <c r="AL8" s="7" t="s">
        <v>59</v>
      </c>
      <c r="AM8" s="25" t="s">
        <v>59</v>
      </c>
      <c r="AN8" s="25">
        <v>8</v>
      </c>
      <c r="AO8" s="7">
        <v>8</v>
      </c>
      <c r="AP8" s="7"/>
      <c r="AQ8" s="7" t="str">
        <f>_xlfn.IFNA(_xlfn.XLOOKUP(Table27[[#This Row],[Name]],Table1[Name],Table1[Status]),"")</f>
        <v>Active</v>
      </c>
      <c r="AR8" s="21">
        <f>Table27[[#This Row],[Actual Hours]]/Table27[[#This Row],[Max Billable Hours]]</f>
        <v>1</v>
      </c>
      <c r="AS8" s="38">
        <v>30</v>
      </c>
    </row>
    <row r="9" spans="2:45" x14ac:dyDescent="0.2">
      <c r="B9" s="36">
        <f>SUM(Table27[Max Billable Hours])</f>
        <v>2524</v>
      </c>
      <c r="C9" s="36"/>
      <c r="E9" s="20" t="s">
        <v>90</v>
      </c>
      <c r="F9" s="11" t="str">
        <f>_xlfn.XLOOKUP(Table27[[#This Row],[Emp ID]],Table1[Emp ID],Table1[Role as per SoW])</f>
        <v>Solution Architect</v>
      </c>
      <c r="G9" s="2" t="str">
        <f>_xlfn.XLOOKUP(Table27[[#This Row],[Emp ID]],Table1[Emp ID],Table1[Name])</f>
        <v>employee4</v>
      </c>
      <c r="H9" s="2">
        <f>IF(Table27[[#This Row],[Status]]="Active",SUM(COUNT(Table27[[#This Row],[1]:[31]]), COUNTIF(Table27[[#This Row],[1]:[31]],"OFF"))*_xlfn.XLOOKUP(Table27[[#This Row],[Name]],Table1[Name],Table1[Billable Hours per day]),"")</f>
        <v>44</v>
      </c>
      <c r="I9" s="2">
        <f>IF(Table27[[#This Row],[Status]]="Active",SUM(Table27[[#This Row],[1]:[31]]),"")</f>
        <v>168</v>
      </c>
      <c r="J9" s="3">
        <v>35</v>
      </c>
      <c r="K9" s="14">
        <f>IFERROR(Table27[[#This Row],[Actual Hours]]*Table27[[#This Row],[Rate]],"")</f>
        <v>5880</v>
      </c>
      <c r="L9" s="7">
        <v>8</v>
      </c>
      <c r="M9" s="7">
        <v>8</v>
      </c>
      <c r="N9" s="7">
        <v>8</v>
      </c>
      <c r="O9" s="7">
        <v>8</v>
      </c>
      <c r="P9" s="7">
        <v>8</v>
      </c>
      <c r="Q9" s="7" t="s">
        <v>59</v>
      </c>
      <c r="R9" s="7" t="s">
        <v>59</v>
      </c>
      <c r="S9" s="7">
        <v>8</v>
      </c>
      <c r="T9" s="7">
        <v>8</v>
      </c>
      <c r="U9" s="7">
        <v>8</v>
      </c>
      <c r="V9" s="7">
        <v>8</v>
      </c>
      <c r="W9" s="7">
        <v>8</v>
      </c>
      <c r="X9" s="7" t="s">
        <v>59</v>
      </c>
      <c r="Y9" s="25" t="s">
        <v>59</v>
      </c>
      <c r="Z9" s="25">
        <v>8</v>
      </c>
      <c r="AA9" s="7">
        <v>8</v>
      </c>
      <c r="AB9" s="7" t="s">
        <v>67</v>
      </c>
      <c r="AC9" s="7">
        <v>8</v>
      </c>
      <c r="AD9" s="7">
        <v>8</v>
      </c>
      <c r="AE9" s="7" t="s">
        <v>59</v>
      </c>
      <c r="AF9" s="25" t="s">
        <v>59</v>
      </c>
      <c r="AG9" s="25">
        <v>8</v>
      </c>
      <c r="AH9" s="7">
        <v>8</v>
      </c>
      <c r="AI9" s="7">
        <v>8</v>
      </c>
      <c r="AJ9" s="7">
        <v>8</v>
      </c>
      <c r="AK9" s="7">
        <v>8</v>
      </c>
      <c r="AL9" s="7" t="s">
        <v>59</v>
      </c>
      <c r="AM9" s="25" t="s">
        <v>59</v>
      </c>
      <c r="AN9" s="25">
        <v>8</v>
      </c>
      <c r="AO9" s="7">
        <v>8</v>
      </c>
      <c r="AP9" s="7"/>
      <c r="AQ9" s="7" t="str">
        <f>_xlfn.IFNA(_xlfn.XLOOKUP(Table27[[#This Row],[Name]],Table1[Name],Table1[Status]),"")</f>
        <v>Active</v>
      </c>
      <c r="AR9" s="21">
        <f>Table27[[#This Row],[Actual Hours]]/Table27[[#This Row],[Max Billable Hours]]</f>
        <v>3.8181818181818183</v>
      </c>
      <c r="AS9" s="38">
        <v>20</v>
      </c>
    </row>
    <row r="10" spans="2:45" x14ac:dyDescent="0.2">
      <c r="B10" s="36"/>
      <c r="C10" s="36"/>
      <c r="E10" s="20" t="s">
        <v>91</v>
      </c>
      <c r="F10" s="11" t="str">
        <f>_xlfn.XLOOKUP(Table27[[#This Row],[Emp ID]],Table1[Emp ID],Table1[Role as per SoW])</f>
        <v>Pre Sales Consultant</v>
      </c>
      <c r="G10" s="2" t="str">
        <f>_xlfn.XLOOKUP(Table27[[#This Row],[Emp ID]],Table1[Emp ID],Table1[Name])</f>
        <v>employee5</v>
      </c>
      <c r="H10" s="2">
        <f>IF(Table27[[#This Row],[Status]]="Active",SUM(COUNT(Table27[[#This Row],[1]:[31]]), COUNTIF(Table27[[#This Row],[1]:[31]],"OFF"))*_xlfn.XLOOKUP(Table27[[#This Row],[Name]],Table1[Name],Table1[Billable Hours per day]),"")</f>
        <v>176</v>
      </c>
      <c r="I10" s="2">
        <f>IF(Table27[[#This Row],[Status]]="Active",SUM(Table27[[#This Row],[1]:[31]]),"")</f>
        <v>176</v>
      </c>
      <c r="J10" s="3">
        <v>30</v>
      </c>
      <c r="K10" s="14">
        <f>IFERROR(Table27[[#This Row],[Actual Hours]]*Table27[[#This Row],[Rate]],"")</f>
        <v>5280</v>
      </c>
      <c r="L10" s="7">
        <v>8</v>
      </c>
      <c r="M10" s="7">
        <v>8</v>
      </c>
      <c r="N10" s="7">
        <v>8</v>
      </c>
      <c r="O10" s="7">
        <v>8</v>
      </c>
      <c r="P10" s="7">
        <v>8</v>
      </c>
      <c r="Q10" s="7" t="s">
        <v>59</v>
      </c>
      <c r="R10" s="7" t="s">
        <v>59</v>
      </c>
      <c r="S10" s="7">
        <v>8</v>
      </c>
      <c r="T10" s="7">
        <v>8</v>
      </c>
      <c r="U10" s="7">
        <v>8</v>
      </c>
      <c r="V10" s="7">
        <v>8</v>
      </c>
      <c r="W10" s="7">
        <v>8</v>
      </c>
      <c r="X10" s="7" t="s">
        <v>59</v>
      </c>
      <c r="Y10" s="25" t="s">
        <v>59</v>
      </c>
      <c r="Z10" s="25">
        <v>8</v>
      </c>
      <c r="AA10" s="7">
        <v>8</v>
      </c>
      <c r="AB10" s="7">
        <v>8</v>
      </c>
      <c r="AC10" s="7">
        <v>8</v>
      </c>
      <c r="AD10" s="7">
        <v>8</v>
      </c>
      <c r="AE10" s="7" t="s">
        <v>59</v>
      </c>
      <c r="AF10" s="25" t="s">
        <v>59</v>
      </c>
      <c r="AG10" s="25">
        <v>8</v>
      </c>
      <c r="AH10" s="7">
        <v>8</v>
      </c>
      <c r="AI10" s="7">
        <v>8</v>
      </c>
      <c r="AJ10" s="7">
        <v>8</v>
      </c>
      <c r="AK10" s="7">
        <v>8</v>
      </c>
      <c r="AL10" s="7" t="s">
        <v>59</v>
      </c>
      <c r="AM10" s="25" t="s">
        <v>59</v>
      </c>
      <c r="AN10" s="25">
        <v>8</v>
      </c>
      <c r="AO10" s="7">
        <v>8</v>
      </c>
      <c r="AP10" s="7"/>
      <c r="AQ10" s="7" t="str">
        <f>_xlfn.IFNA(_xlfn.XLOOKUP(Table27[[#This Row],[Name]],Table1[Name],Table1[Status]),"")</f>
        <v>Active</v>
      </c>
      <c r="AR10" s="21">
        <f>Table27[[#This Row],[Actual Hours]]/Table27[[#This Row],[Max Billable Hours]]</f>
        <v>1</v>
      </c>
      <c r="AS10" s="38">
        <v>25</v>
      </c>
    </row>
    <row r="11" spans="2:45" x14ac:dyDescent="0.2">
      <c r="B11" s="36"/>
      <c r="C11" s="36"/>
      <c r="E11" s="20" t="s">
        <v>92</v>
      </c>
      <c r="F11" s="11" t="str">
        <f>_xlfn.XLOOKUP(Table27[[#This Row],[Emp ID]],Table1[Emp ID],Table1[Role as per SoW])</f>
        <v>Backend Developer</v>
      </c>
      <c r="G11" s="2" t="str">
        <f>_xlfn.XLOOKUP(Table27[[#This Row],[Emp ID]],Table1[Emp ID],Table1[Name])</f>
        <v>employee6</v>
      </c>
      <c r="H11" s="2">
        <f>IF(Table27[[#This Row],[Status]]="Active",SUM(COUNT(Table27[[#This Row],[1]:[31]]), COUNTIF(Table27[[#This Row],[1]:[31]],"OFF"))*_xlfn.XLOOKUP(Table27[[#This Row],[Name]],Table1[Name],Table1[Billable Hours per day]),"")</f>
        <v>176</v>
      </c>
      <c r="I11" s="2">
        <f>IF(Table27[[#This Row],[Status]]="Active",SUM(Table27[[#This Row],[1]:[31]]),"")</f>
        <v>176</v>
      </c>
      <c r="J11" s="3">
        <v>30</v>
      </c>
      <c r="K11" s="14">
        <f>IFERROR(Table27[[#This Row],[Actual Hours]]*Table27[[#This Row],[Rate]],"")</f>
        <v>5280</v>
      </c>
      <c r="L11" s="7">
        <v>8</v>
      </c>
      <c r="M11" s="7">
        <v>8</v>
      </c>
      <c r="N11" s="7">
        <v>8</v>
      </c>
      <c r="O11" s="7">
        <v>8</v>
      </c>
      <c r="P11" s="7">
        <v>8</v>
      </c>
      <c r="Q11" s="7" t="s">
        <v>59</v>
      </c>
      <c r="R11" s="7" t="s">
        <v>59</v>
      </c>
      <c r="S11" s="7">
        <v>8</v>
      </c>
      <c r="T11" s="7">
        <v>8</v>
      </c>
      <c r="U11" s="7">
        <v>8</v>
      </c>
      <c r="V11" s="7">
        <v>8</v>
      </c>
      <c r="W11" s="7">
        <v>8</v>
      </c>
      <c r="X11" s="7" t="s">
        <v>59</v>
      </c>
      <c r="Y11" s="25" t="s">
        <v>59</v>
      </c>
      <c r="Z11" s="25">
        <v>8</v>
      </c>
      <c r="AA11" s="7">
        <v>8</v>
      </c>
      <c r="AB11" s="7">
        <v>8</v>
      </c>
      <c r="AC11" s="7">
        <v>8</v>
      </c>
      <c r="AD11" s="7">
        <v>8</v>
      </c>
      <c r="AE11" s="7" t="s">
        <v>59</v>
      </c>
      <c r="AF11" s="25" t="s">
        <v>59</v>
      </c>
      <c r="AG11" s="25">
        <v>8</v>
      </c>
      <c r="AH11" s="7">
        <v>8</v>
      </c>
      <c r="AI11" s="7">
        <v>8</v>
      </c>
      <c r="AJ11" s="7">
        <v>8</v>
      </c>
      <c r="AK11" s="7">
        <v>8</v>
      </c>
      <c r="AL11" s="7" t="s">
        <v>59</v>
      </c>
      <c r="AM11" s="25" t="s">
        <v>59</v>
      </c>
      <c r="AN11" s="25">
        <v>8</v>
      </c>
      <c r="AO11" s="7">
        <v>8</v>
      </c>
      <c r="AP11" s="7"/>
      <c r="AQ11" s="7" t="str">
        <f>_xlfn.IFNA(_xlfn.XLOOKUP(Table27[[#This Row],[Name]],Table1[Name],Table1[Status]),"")</f>
        <v>Active</v>
      </c>
      <c r="AR11" s="21">
        <f>Table27[[#This Row],[Actual Hours]]/Table27[[#This Row],[Max Billable Hours]]</f>
        <v>1</v>
      </c>
      <c r="AS11" s="38">
        <v>23</v>
      </c>
    </row>
    <row r="12" spans="2:45" x14ac:dyDescent="0.2">
      <c r="B12" s="36"/>
      <c r="C12" s="36"/>
      <c r="E12" s="20" t="s">
        <v>93</v>
      </c>
      <c r="F12" s="11" t="str">
        <f>_xlfn.XLOOKUP(Table27[[#This Row],[Emp ID]],Table1[Emp ID],Table1[Role as per SoW])</f>
        <v>Frontend Developer</v>
      </c>
      <c r="G12" s="2" t="str">
        <f>_xlfn.XLOOKUP(Table27[[#This Row],[Emp ID]],Table1[Emp ID],Table1[Name])</f>
        <v>employee7</v>
      </c>
      <c r="H12" s="2">
        <f>IF(Table27[[#This Row],[Status]]="Active",SUM(COUNT(Table27[[#This Row],[1]:[31]]), COUNTIF(Table27[[#This Row],[1]:[31]],"OFF"))*_xlfn.XLOOKUP(Table27[[#This Row],[Name]],Table1[Name],Table1[Billable Hours per day]),"")</f>
        <v>184</v>
      </c>
      <c r="I12" s="2">
        <f>IF(Table27[[#This Row],[Status]]="Active",SUM(Table27[[#This Row],[1]:[31]]),"")</f>
        <v>184</v>
      </c>
      <c r="J12" s="3">
        <v>28</v>
      </c>
      <c r="K12" s="14">
        <f>IFERROR(Table27[[#This Row],[Actual Hours]]*Table27[[#This Row],[Rate]],"")</f>
        <v>5152</v>
      </c>
      <c r="L12" s="7">
        <v>8</v>
      </c>
      <c r="M12" s="7">
        <v>8</v>
      </c>
      <c r="N12" s="7">
        <v>8</v>
      </c>
      <c r="O12" s="7">
        <v>8</v>
      </c>
      <c r="P12" s="7">
        <v>8</v>
      </c>
      <c r="Q12" s="7" t="s">
        <v>59</v>
      </c>
      <c r="R12" s="7">
        <v>8</v>
      </c>
      <c r="S12" s="7">
        <v>8</v>
      </c>
      <c r="T12" s="7">
        <v>8</v>
      </c>
      <c r="U12" s="7">
        <v>8</v>
      </c>
      <c r="V12" s="7">
        <v>8</v>
      </c>
      <c r="W12" s="7">
        <v>8</v>
      </c>
      <c r="X12" s="7" t="s">
        <v>59</v>
      </c>
      <c r="Y12" s="25" t="s">
        <v>59</v>
      </c>
      <c r="Z12" s="25">
        <v>8</v>
      </c>
      <c r="AA12" s="7">
        <v>8</v>
      </c>
      <c r="AB12" s="7">
        <v>8</v>
      </c>
      <c r="AC12" s="7">
        <v>8</v>
      </c>
      <c r="AD12" s="7">
        <v>8</v>
      </c>
      <c r="AE12" s="7" t="s">
        <v>59</v>
      </c>
      <c r="AF12" s="25" t="s">
        <v>59</v>
      </c>
      <c r="AG12" s="25">
        <v>8</v>
      </c>
      <c r="AH12" s="7">
        <v>8</v>
      </c>
      <c r="AI12" s="7">
        <v>8</v>
      </c>
      <c r="AJ12" s="7">
        <v>8</v>
      </c>
      <c r="AK12" s="7">
        <v>8</v>
      </c>
      <c r="AL12" s="7" t="s">
        <v>59</v>
      </c>
      <c r="AM12" s="25" t="s">
        <v>59</v>
      </c>
      <c r="AN12" s="25">
        <v>8</v>
      </c>
      <c r="AO12" s="7">
        <v>8</v>
      </c>
      <c r="AP12" s="7"/>
      <c r="AQ12" s="7" t="str">
        <f>_xlfn.IFNA(_xlfn.XLOOKUP(Table27[[#This Row],[Name]],Table1[Name],Table1[Status]),"")</f>
        <v>Active</v>
      </c>
      <c r="AR12" s="21">
        <f>Table27[[#This Row],[Actual Hours]]/Table27[[#This Row],[Max Billable Hours]]</f>
        <v>1</v>
      </c>
      <c r="AS12" s="38">
        <v>19</v>
      </c>
    </row>
    <row r="13" spans="2:45" x14ac:dyDescent="0.2">
      <c r="B13" s="36"/>
      <c r="C13" s="36"/>
      <c r="E13" s="20" t="s">
        <v>94</v>
      </c>
      <c r="F13" s="11" t="str">
        <f>_xlfn.XLOOKUP(Table27[[#This Row],[Emp ID]],Table1[Emp ID],Table1[Role as per SoW])</f>
        <v>Quality Engineer</v>
      </c>
      <c r="G13" s="2" t="str">
        <f>_xlfn.XLOOKUP(Table27[[#This Row],[Emp ID]],Table1[Emp ID],Table1[Name])</f>
        <v>employee8</v>
      </c>
      <c r="H13" s="2">
        <f>IF(Table27[[#This Row],[Status]]="Active",SUM(COUNT(Table27[[#This Row],[1]:[31]]), COUNTIF(Table27[[#This Row],[1]:[31]],"OFF"))*_xlfn.XLOOKUP(Table27[[#This Row],[Name]],Table1[Name],Table1[Billable Hours per day]),"")</f>
        <v>176</v>
      </c>
      <c r="I13" s="2">
        <f>IF(Table27[[#This Row],[Status]]="Active",SUM(Table27[[#This Row],[1]:[31]]),"")</f>
        <v>176</v>
      </c>
      <c r="J13" s="3">
        <v>32</v>
      </c>
      <c r="K13" s="14">
        <f>IFERROR(Table27[[#This Row],[Actual Hours]]*Table27[[#This Row],[Rate]],"")</f>
        <v>5632</v>
      </c>
      <c r="L13" s="7">
        <v>8</v>
      </c>
      <c r="M13" s="7">
        <v>8</v>
      </c>
      <c r="N13" s="7">
        <v>8</v>
      </c>
      <c r="O13" s="7">
        <v>8</v>
      </c>
      <c r="P13" s="7">
        <v>8</v>
      </c>
      <c r="Q13" s="7" t="s">
        <v>59</v>
      </c>
      <c r="R13" s="7" t="s">
        <v>59</v>
      </c>
      <c r="S13" s="7">
        <v>8</v>
      </c>
      <c r="T13" s="7">
        <v>8</v>
      </c>
      <c r="U13" s="7">
        <v>8</v>
      </c>
      <c r="V13" s="7">
        <v>8</v>
      </c>
      <c r="W13" s="7">
        <v>8</v>
      </c>
      <c r="X13" s="7" t="s">
        <v>59</v>
      </c>
      <c r="Y13" s="25" t="s">
        <v>59</v>
      </c>
      <c r="Z13" s="25">
        <v>8</v>
      </c>
      <c r="AA13" s="7">
        <v>8</v>
      </c>
      <c r="AB13" s="7">
        <v>8</v>
      </c>
      <c r="AC13" s="7">
        <v>8</v>
      </c>
      <c r="AD13" s="7">
        <v>8</v>
      </c>
      <c r="AE13" s="7" t="s">
        <v>59</v>
      </c>
      <c r="AF13" s="25" t="s">
        <v>59</v>
      </c>
      <c r="AG13" s="25">
        <v>8</v>
      </c>
      <c r="AH13" s="7">
        <v>8</v>
      </c>
      <c r="AI13" s="7">
        <v>8</v>
      </c>
      <c r="AJ13" s="7">
        <v>8</v>
      </c>
      <c r="AK13" s="7">
        <v>8</v>
      </c>
      <c r="AL13" s="7" t="s">
        <v>59</v>
      </c>
      <c r="AM13" s="25" t="s">
        <v>59</v>
      </c>
      <c r="AN13" s="25">
        <v>8</v>
      </c>
      <c r="AO13" s="7">
        <v>8</v>
      </c>
      <c r="AP13" s="7"/>
      <c r="AQ13" s="7" t="str">
        <f>_xlfn.IFNA(_xlfn.XLOOKUP(Table27[[#This Row],[Name]],Table1[Name],Table1[Status]),"")</f>
        <v>Active</v>
      </c>
      <c r="AR13" s="21">
        <f>Table27[[#This Row],[Actual Hours]]/Table27[[#This Row],[Max Billable Hours]]</f>
        <v>1</v>
      </c>
      <c r="AS13" s="38">
        <v>23</v>
      </c>
    </row>
    <row r="14" spans="2:45" x14ac:dyDescent="0.2">
      <c r="B14" s="36"/>
      <c r="C14" s="36"/>
      <c r="E14" s="20" t="s">
        <v>95</v>
      </c>
      <c r="F14" s="11" t="str">
        <f>_xlfn.XLOOKUP(Table27[[#This Row],[Emp ID]],Table1[Emp ID],Table1[Role as per SoW])</f>
        <v>Automation QA</v>
      </c>
      <c r="G14" s="2" t="str">
        <f>_xlfn.XLOOKUP(Table27[[#This Row],[Emp ID]],Table1[Emp ID],Table1[Name])</f>
        <v>employee9</v>
      </c>
      <c r="H14" s="2">
        <f>IF(Table27[[#This Row],[Status]]="Active",SUM(COUNT(Table27[[#This Row],[1]:[31]]), COUNTIF(Table27[[#This Row],[1]:[31]],"OFF"))*_xlfn.XLOOKUP(Table27[[#This Row],[Name]],Table1[Name],Table1[Billable Hours per day]),"")</f>
        <v>176</v>
      </c>
      <c r="I14" s="2">
        <f>IF(Table27[[#This Row],[Status]]="Active",SUM(Table27[[#This Row],[1]:[31]]),"")</f>
        <v>176</v>
      </c>
      <c r="J14" s="3">
        <v>30</v>
      </c>
      <c r="K14" s="14">
        <f>IFERROR(Table27[[#This Row],[Actual Hours]]*Table27[[#This Row],[Rate]],"")</f>
        <v>5280</v>
      </c>
      <c r="L14" s="7">
        <v>8</v>
      </c>
      <c r="M14" s="7">
        <v>8</v>
      </c>
      <c r="N14" s="7">
        <v>8</v>
      </c>
      <c r="O14" s="7">
        <v>8</v>
      </c>
      <c r="P14" s="7">
        <v>8</v>
      </c>
      <c r="Q14" s="7" t="s">
        <v>59</v>
      </c>
      <c r="R14" s="7" t="s">
        <v>59</v>
      </c>
      <c r="S14" s="7">
        <v>8</v>
      </c>
      <c r="T14" s="7">
        <v>8</v>
      </c>
      <c r="U14" s="7">
        <v>8</v>
      </c>
      <c r="V14" s="7">
        <v>8</v>
      </c>
      <c r="W14" s="7">
        <v>8</v>
      </c>
      <c r="X14" s="7" t="s">
        <v>59</v>
      </c>
      <c r="Y14" s="25" t="s">
        <v>59</v>
      </c>
      <c r="Z14" s="25">
        <v>8</v>
      </c>
      <c r="AA14" s="7">
        <v>8</v>
      </c>
      <c r="AB14" s="7">
        <v>8</v>
      </c>
      <c r="AC14" s="7">
        <v>8</v>
      </c>
      <c r="AD14" s="7">
        <v>8</v>
      </c>
      <c r="AE14" s="7" t="s">
        <v>59</v>
      </c>
      <c r="AF14" s="25" t="s">
        <v>59</v>
      </c>
      <c r="AG14" s="25">
        <v>8</v>
      </c>
      <c r="AH14" s="7">
        <v>8</v>
      </c>
      <c r="AI14" s="7">
        <v>8</v>
      </c>
      <c r="AJ14" s="7">
        <v>8</v>
      </c>
      <c r="AK14" s="7">
        <v>8</v>
      </c>
      <c r="AL14" s="7" t="s">
        <v>59</v>
      </c>
      <c r="AM14" s="25" t="s">
        <v>59</v>
      </c>
      <c r="AN14" s="25">
        <v>8</v>
      </c>
      <c r="AO14" s="7">
        <v>8</v>
      </c>
      <c r="AP14" s="7"/>
      <c r="AQ14" s="7" t="str">
        <f>_xlfn.IFNA(_xlfn.XLOOKUP(Table27[[#This Row],[Name]],Table1[Name],Table1[Status]),"")</f>
        <v>Active</v>
      </c>
      <c r="AR14" s="21">
        <f>Table27[[#This Row],[Actual Hours]]/Table27[[#This Row],[Max Billable Hours]]</f>
        <v>1</v>
      </c>
      <c r="AS14" s="38">
        <v>26</v>
      </c>
    </row>
    <row r="15" spans="2:45" x14ac:dyDescent="0.2">
      <c r="B15" s="36"/>
      <c r="C15" s="36"/>
      <c r="E15" s="20" t="s">
        <v>96</v>
      </c>
      <c r="F15" s="11" t="str">
        <f>_xlfn.XLOOKUP(Table27[[#This Row],[Emp ID]],Table1[Emp ID],Table1[Role as per SoW])</f>
        <v>UI/UX Designer</v>
      </c>
      <c r="G15" s="2" t="str">
        <f>_xlfn.XLOOKUP(Table27[[#This Row],[Emp ID]],Table1[Emp ID],Table1[Name])</f>
        <v>employee10</v>
      </c>
      <c r="H15" s="2">
        <f>IF(Table27[[#This Row],[Status]]="Active",SUM(COUNT(Table27[[#This Row],[1]:[31]]), COUNTIF(Table27[[#This Row],[1]:[31]],"OFF"))*_xlfn.XLOOKUP(Table27[[#This Row],[Name]],Table1[Name],Table1[Billable Hours per day]),"")</f>
        <v>176</v>
      </c>
      <c r="I15" s="2">
        <f>IF(Table27[[#This Row],[Status]]="Active",SUM(Table27[[#This Row],[1]:[31]]),"")</f>
        <v>176</v>
      </c>
      <c r="J15" s="3">
        <v>30</v>
      </c>
      <c r="K15" s="14">
        <f>IFERROR(Table27[[#This Row],[Actual Hours]]*Table27[[#This Row],[Rate]],"")</f>
        <v>5280</v>
      </c>
      <c r="L15" s="7">
        <v>8</v>
      </c>
      <c r="M15" s="7">
        <v>8</v>
      </c>
      <c r="N15" s="7">
        <v>8</v>
      </c>
      <c r="O15" s="7">
        <v>8</v>
      </c>
      <c r="P15" s="7">
        <v>8</v>
      </c>
      <c r="Q15" s="7" t="s">
        <v>59</v>
      </c>
      <c r="R15" s="7" t="s">
        <v>59</v>
      </c>
      <c r="S15" s="7">
        <v>8</v>
      </c>
      <c r="T15" s="7">
        <v>8</v>
      </c>
      <c r="U15" s="7">
        <v>8</v>
      </c>
      <c r="V15" s="7">
        <v>8</v>
      </c>
      <c r="W15" s="7">
        <v>8</v>
      </c>
      <c r="X15" s="7" t="s">
        <v>59</v>
      </c>
      <c r="Y15" s="25" t="s">
        <v>59</v>
      </c>
      <c r="Z15" s="25">
        <v>8</v>
      </c>
      <c r="AA15" s="7">
        <v>8</v>
      </c>
      <c r="AB15" s="7">
        <v>8</v>
      </c>
      <c r="AC15" s="7">
        <v>8</v>
      </c>
      <c r="AD15" s="7">
        <v>8</v>
      </c>
      <c r="AE15" s="7" t="s">
        <v>59</v>
      </c>
      <c r="AF15" s="25" t="s">
        <v>59</v>
      </c>
      <c r="AG15" s="25">
        <v>8</v>
      </c>
      <c r="AH15" s="7">
        <v>8</v>
      </c>
      <c r="AI15" s="7">
        <v>8</v>
      </c>
      <c r="AJ15" s="7">
        <v>8</v>
      </c>
      <c r="AK15" s="7">
        <v>8</v>
      </c>
      <c r="AL15" s="7" t="s">
        <v>59</v>
      </c>
      <c r="AM15" s="25" t="s">
        <v>59</v>
      </c>
      <c r="AN15" s="25">
        <v>8</v>
      </c>
      <c r="AO15" s="7">
        <v>8</v>
      </c>
      <c r="AP15" s="7"/>
      <c r="AQ15" s="7" t="str">
        <f>_xlfn.IFNA(_xlfn.XLOOKUP(Table27[[#This Row],[Name]],Table1[Name],Table1[Status]),"")</f>
        <v>Active</v>
      </c>
      <c r="AR15" s="21">
        <f>Table27[[#This Row],[Actual Hours]]/Table27[[#This Row],[Max Billable Hours]]</f>
        <v>1</v>
      </c>
      <c r="AS15" s="38">
        <v>29</v>
      </c>
    </row>
    <row r="16" spans="2:45" x14ac:dyDescent="0.2">
      <c r="B16" s="36"/>
      <c r="C16" s="36"/>
      <c r="E16" s="20" t="s">
        <v>97</v>
      </c>
      <c r="F16" s="11" t="str">
        <f>_xlfn.XLOOKUP(Table27[[#This Row],[Emp ID]],Table1[Emp ID],Table1[Role as per SoW])</f>
        <v>Manager</v>
      </c>
      <c r="G16" s="2" t="str">
        <f>_xlfn.XLOOKUP(Table27[[#This Row],[Emp ID]],Table1[Emp ID],Table1[Name])</f>
        <v>employee11</v>
      </c>
      <c r="H16" s="2">
        <f>IF(Table27[[#This Row],[Status]]="Active",SUM(COUNT(Table27[[#This Row],[1]:[31]]), COUNTIF(Table27[[#This Row],[1]:[31]],"OFF"))*_xlfn.XLOOKUP(Table27[[#This Row],[Name]],Table1[Name],Table1[Billable Hours per day]),"")</f>
        <v>176</v>
      </c>
      <c r="I16" s="2">
        <f>IF(Table27[[#This Row],[Status]]="Active",SUM(Table27[[#This Row],[1]:[31]]),"")</f>
        <v>176</v>
      </c>
      <c r="J16" s="3">
        <v>28</v>
      </c>
      <c r="K16" s="14">
        <f>IFERROR(Table27[[#This Row],[Actual Hours]]*Table27[[#This Row],[Rate]],"")</f>
        <v>4928</v>
      </c>
      <c r="L16" s="7">
        <v>8</v>
      </c>
      <c r="M16" s="7">
        <v>8</v>
      </c>
      <c r="N16" s="7">
        <v>8</v>
      </c>
      <c r="O16" s="7">
        <v>8</v>
      </c>
      <c r="P16" s="7">
        <v>8</v>
      </c>
      <c r="Q16" s="7" t="s">
        <v>59</v>
      </c>
      <c r="R16" s="7" t="s">
        <v>59</v>
      </c>
      <c r="S16" s="7">
        <v>8</v>
      </c>
      <c r="T16" s="7">
        <v>8</v>
      </c>
      <c r="U16" s="7">
        <v>8</v>
      </c>
      <c r="V16" s="7">
        <v>8</v>
      </c>
      <c r="W16" s="7">
        <v>8</v>
      </c>
      <c r="X16" s="7" t="s">
        <v>59</v>
      </c>
      <c r="Y16" s="25" t="s">
        <v>59</v>
      </c>
      <c r="Z16" s="25">
        <v>8</v>
      </c>
      <c r="AA16" s="7">
        <v>8</v>
      </c>
      <c r="AB16" s="7">
        <v>8</v>
      </c>
      <c r="AC16" s="7">
        <v>8</v>
      </c>
      <c r="AD16" s="7">
        <v>8</v>
      </c>
      <c r="AE16" s="7" t="s">
        <v>59</v>
      </c>
      <c r="AF16" s="25" t="s">
        <v>59</v>
      </c>
      <c r="AG16" s="25">
        <v>8</v>
      </c>
      <c r="AH16" s="7">
        <v>8</v>
      </c>
      <c r="AI16" s="7">
        <v>8</v>
      </c>
      <c r="AJ16" s="7">
        <v>8</v>
      </c>
      <c r="AK16" s="7">
        <v>8</v>
      </c>
      <c r="AL16" s="7" t="s">
        <v>59</v>
      </c>
      <c r="AM16" s="25" t="s">
        <v>59</v>
      </c>
      <c r="AN16" s="25">
        <v>8</v>
      </c>
      <c r="AO16" s="7">
        <v>8</v>
      </c>
      <c r="AP16" s="7"/>
      <c r="AQ16" s="7" t="str">
        <f>_xlfn.IFNA(_xlfn.XLOOKUP(Table27[[#This Row],[Name]],Table1[Name],Table1[Status]),"")</f>
        <v>Active</v>
      </c>
      <c r="AR16" s="21">
        <f>Table27[[#This Row],[Actual Hours]]/Table27[[#This Row],[Max Billable Hours]]</f>
        <v>1</v>
      </c>
      <c r="AS16" s="38">
        <v>19</v>
      </c>
    </row>
    <row r="17" spans="2:45" x14ac:dyDescent="0.2">
      <c r="B17" s="36"/>
      <c r="C17" s="36"/>
      <c r="E17" s="20" t="s">
        <v>98</v>
      </c>
      <c r="F17" s="11" t="str">
        <f>_xlfn.XLOOKUP(Table27[[#This Row],[Emp ID]],Table1[Emp ID],Table1[Role as per SoW])</f>
        <v>Backend Engineer</v>
      </c>
      <c r="G17" s="2" t="str">
        <f>_xlfn.XLOOKUP(Table27[[#This Row],[Emp ID]],Table1[Emp ID],Table1[Name])</f>
        <v>employee12</v>
      </c>
      <c r="H17" s="2">
        <f>IF(Table27[[#This Row],[Status]]="Active",SUM(COUNT(Table27[[#This Row],[1]:[31]]), COUNTIF(Table27[[#This Row],[1]:[31]],"OFF"))*_xlfn.XLOOKUP(Table27[[#This Row],[Name]],Table1[Name],Table1[Billable Hours per day]),"")</f>
        <v>176</v>
      </c>
      <c r="I17" s="2">
        <f>IF(Table27[[#This Row],[Status]]="Active",SUM(Table27[[#This Row],[1]:[31]]),"")</f>
        <v>176</v>
      </c>
      <c r="J17" s="3">
        <v>30</v>
      </c>
      <c r="K17" s="14">
        <f>IFERROR(Table27[[#This Row],[Actual Hours]]*Table27[[#This Row],[Rate]],"")</f>
        <v>5280</v>
      </c>
      <c r="L17" s="7">
        <v>8</v>
      </c>
      <c r="M17" s="7">
        <v>8</v>
      </c>
      <c r="N17" s="7">
        <v>8</v>
      </c>
      <c r="O17" s="7">
        <v>8</v>
      </c>
      <c r="P17" s="7">
        <v>8</v>
      </c>
      <c r="Q17" s="7" t="s">
        <v>59</v>
      </c>
      <c r="R17" s="7" t="s">
        <v>59</v>
      </c>
      <c r="S17" s="7">
        <v>8</v>
      </c>
      <c r="T17" s="7">
        <v>8</v>
      </c>
      <c r="U17" s="7">
        <v>8</v>
      </c>
      <c r="V17" s="7">
        <v>8</v>
      </c>
      <c r="W17" s="7">
        <v>8</v>
      </c>
      <c r="X17" s="7" t="s">
        <v>59</v>
      </c>
      <c r="Y17" s="25" t="s">
        <v>59</v>
      </c>
      <c r="Z17" s="25">
        <v>8</v>
      </c>
      <c r="AA17" s="7">
        <v>8</v>
      </c>
      <c r="AB17" s="7">
        <v>8</v>
      </c>
      <c r="AC17" s="7">
        <v>8</v>
      </c>
      <c r="AD17" s="7">
        <v>8</v>
      </c>
      <c r="AE17" s="7" t="s">
        <v>59</v>
      </c>
      <c r="AF17" s="25" t="s">
        <v>59</v>
      </c>
      <c r="AG17" s="25">
        <v>8</v>
      </c>
      <c r="AH17" s="7">
        <v>8</v>
      </c>
      <c r="AI17" s="7">
        <v>8</v>
      </c>
      <c r="AJ17" s="7">
        <v>8</v>
      </c>
      <c r="AK17" s="7">
        <v>8</v>
      </c>
      <c r="AL17" s="7" t="s">
        <v>59</v>
      </c>
      <c r="AM17" s="25" t="s">
        <v>59</v>
      </c>
      <c r="AN17" s="25">
        <v>8</v>
      </c>
      <c r="AO17" s="7">
        <v>8</v>
      </c>
      <c r="AP17" s="7"/>
      <c r="AQ17" s="7" t="str">
        <f>_xlfn.IFNA(_xlfn.XLOOKUP(Table27[[#This Row],[Name]],Table1[Name],Table1[Status]),"")</f>
        <v>Active</v>
      </c>
      <c r="AR17" s="21">
        <f>Table27[[#This Row],[Actual Hours]]/Table27[[#This Row],[Max Billable Hours]]</f>
        <v>1</v>
      </c>
      <c r="AS17" s="38">
        <v>25</v>
      </c>
    </row>
    <row r="18" spans="2:45" x14ac:dyDescent="0.2">
      <c r="B18" s="36"/>
      <c r="C18" s="36"/>
      <c r="E18" s="20" t="s">
        <v>99</v>
      </c>
      <c r="F18" s="11" t="str">
        <f>_xlfn.XLOOKUP(Table27[[#This Row],[Emp ID]],Table1[Emp ID],Table1[Role as per SoW])</f>
        <v>Frontend Developer</v>
      </c>
      <c r="G18" s="2" t="str">
        <f>_xlfn.XLOOKUP(Table27[[#This Row],[Emp ID]],Table1[Emp ID],Table1[Name])</f>
        <v>employee13</v>
      </c>
      <c r="H18" s="2">
        <f>IF(Table27[[#This Row],[Status]]="Active",SUM(COUNT(Table27[[#This Row],[1]:[31]]), COUNTIF(Table27[[#This Row],[1]:[31]],"OFF"))*_xlfn.XLOOKUP(Table27[[#This Row],[Name]],Table1[Name],Table1[Billable Hours per day]),"")</f>
        <v>176</v>
      </c>
      <c r="I18" s="2">
        <f>IF(Table27[[#This Row],[Status]]="Active",SUM(Table27[[#This Row],[1]:[31]]),"")</f>
        <v>176</v>
      </c>
      <c r="J18" s="3">
        <v>30</v>
      </c>
      <c r="K18" s="14">
        <f>IFERROR(Table27[[#This Row],[Actual Hours]]*Table27[[#This Row],[Rate]],"")</f>
        <v>5280</v>
      </c>
      <c r="L18" s="7">
        <v>8</v>
      </c>
      <c r="M18" s="7">
        <v>8</v>
      </c>
      <c r="N18" s="7">
        <v>8</v>
      </c>
      <c r="O18" s="7">
        <v>8</v>
      </c>
      <c r="P18" s="7">
        <v>8</v>
      </c>
      <c r="Q18" s="7" t="s">
        <v>59</v>
      </c>
      <c r="R18" s="7" t="s">
        <v>59</v>
      </c>
      <c r="S18" s="7">
        <v>8</v>
      </c>
      <c r="T18" s="7">
        <v>8</v>
      </c>
      <c r="U18" s="7">
        <v>8</v>
      </c>
      <c r="V18" s="7">
        <v>8</v>
      </c>
      <c r="W18" s="7">
        <v>8</v>
      </c>
      <c r="X18" s="7" t="s">
        <v>59</v>
      </c>
      <c r="Y18" s="25" t="s">
        <v>59</v>
      </c>
      <c r="Z18" s="25">
        <v>8</v>
      </c>
      <c r="AA18" s="7">
        <v>8</v>
      </c>
      <c r="AB18" s="7">
        <v>8</v>
      </c>
      <c r="AC18" s="7">
        <v>8</v>
      </c>
      <c r="AD18" s="7">
        <v>8</v>
      </c>
      <c r="AE18" s="7" t="s">
        <v>59</v>
      </c>
      <c r="AF18" s="25" t="s">
        <v>59</v>
      </c>
      <c r="AG18" s="25">
        <v>8</v>
      </c>
      <c r="AH18" s="7">
        <v>8</v>
      </c>
      <c r="AI18" s="7">
        <v>8</v>
      </c>
      <c r="AJ18" s="7">
        <v>8</v>
      </c>
      <c r="AK18" s="7">
        <v>8</v>
      </c>
      <c r="AL18" s="7" t="s">
        <v>59</v>
      </c>
      <c r="AM18" s="25" t="s">
        <v>59</v>
      </c>
      <c r="AN18" s="25">
        <v>8</v>
      </c>
      <c r="AO18" s="7">
        <v>8</v>
      </c>
      <c r="AP18" s="7"/>
      <c r="AQ18" s="7" t="str">
        <f>_xlfn.IFNA(_xlfn.XLOOKUP(Table27[[#This Row],[Name]],Table1[Name],Table1[Status]),"")</f>
        <v>Active</v>
      </c>
      <c r="AR18" s="21">
        <f>Table27[[#This Row],[Actual Hours]]/Table27[[#This Row],[Max Billable Hours]]</f>
        <v>1</v>
      </c>
      <c r="AS18" s="38">
        <v>17</v>
      </c>
    </row>
    <row r="19" spans="2:45" x14ac:dyDescent="0.2">
      <c r="B19" s="36"/>
      <c r="C19" s="36"/>
      <c r="E19" s="20" t="s">
        <v>100</v>
      </c>
      <c r="F19" s="11" t="str">
        <f>_xlfn.XLOOKUP(Table27[[#This Row],[Emp ID]],Table1[Emp ID],Table1[Role as per SoW])</f>
        <v>Quality Engineer</v>
      </c>
      <c r="G19" s="2" t="str">
        <f>_xlfn.XLOOKUP(Table27[[#This Row],[Emp ID]],Table1[Emp ID],Table1[Name])</f>
        <v>employee14</v>
      </c>
      <c r="H19" s="2">
        <f>IF(Table27[[#This Row],[Status]]="Active",SUM(COUNT(Table27[[#This Row],[1]:[31]]), COUNTIF(Table27[[#This Row],[1]:[31]],"OFF"))*_xlfn.XLOOKUP(Table27[[#This Row],[Name]],Table1[Name],Table1[Billable Hours per day]),"")</f>
        <v>176</v>
      </c>
      <c r="I19" s="2">
        <f>IF(Table27[[#This Row],[Status]]="Active",SUM(Table27[[#This Row],[1]:[31]]),"")</f>
        <v>176</v>
      </c>
      <c r="J19" s="3">
        <v>30</v>
      </c>
      <c r="K19" s="14">
        <f>IFERROR(Table27[[#This Row],[Actual Hours]]*Table27[[#This Row],[Rate]],"")</f>
        <v>5280</v>
      </c>
      <c r="L19" s="7">
        <v>8</v>
      </c>
      <c r="M19" s="7">
        <v>8</v>
      </c>
      <c r="N19" s="7">
        <v>8</v>
      </c>
      <c r="O19" s="7">
        <v>8</v>
      </c>
      <c r="P19" s="7">
        <v>8</v>
      </c>
      <c r="Q19" s="7" t="s">
        <v>59</v>
      </c>
      <c r="R19" s="7" t="s">
        <v>59</v>
      </c>
      <c r="S19" s="7">
        <v>8</v>
      </c>
      <c r="T19" s="7">
        <v>8</v>
      </c>
      <c r="U19" s="7">
        <v>8</v>
      </c>
      <c r="V19" s="7">
        <v>8</v>
      </c>
      <c r="W19" s="7">
        <v>8</v>
      </c>
      <c r="X19" s="7" t="s">
        <v>59</v>
      </c>
      <c r="Y19" s="25" t="s">
        <v>59</v>
      </c>
      <c r="Z19" s="25">
        <v>8</v>
      </c>
      <c r="AA19" s="7">
        <v>8</v>
      </c>
      <c r="AB19" s="7">
        <v>8</v>
      </c>
      <c r="AC19" s="7">
        <v>8</v>
      </c>
      <c r="AD19" s="7">
        <v>8</v>
      </c>
      <c r="AE19" s="7" t="s">
        <v>59</v>
      </c>
      <c r="AF19" s="25" t="s">
        <v>59</v>
      </c>
      <c r="AG19" s="25">
        <v>8</v>
      </c>
      <c r="AH19" s="7">
        <v>8</v>
      </c>
      <c r="AI19" s="7">
        <v>8</v>
      </c>
      <c r="AJ19" s="7">
        <v>8</v>
      </c>
      <c r="AK19" s="7">
        <v>8</v>
      </c>
      <c r="AL19" s="7" t="s">
        <v>59</v>
      </c>
      <c r="AM19" s="25" t="s">
        <v>59</v>
      </c>
      <c r="AN19" s="25">
        <v>8</v>
      </c>
      <c r="AO19" s="7">
        <v>8</v>
      </c>
      <c r="AP19" s="7"/>
      <c r="AQ19" s="7" t="str">
        <f>_xlfn.IFNA(_xlfn.XLOOKUP(Table27[[#This Row],[Name]],Table1[Name],Table1[Status]),"")</f>
        <v>Active</v>
      </c>
      <c r="AR19" s="21">
        <f>Table27[[#This Row],[Actual Hours]]/Table27[[#This Row],[Max Billable Hours]]</f>
        <v>1</v>
      </c>
      <c r="AS19" s="38">
        <v>20</v>
      </c>
    </row>
    <row r="20" spans="2:45" x14ac:dyDescent="0.2">
      <c r="B20" s="36"/>
      <c r="C20" s="36"/>
      <c r="E20" s="20" t="s">
        <v>101</v>
      </c>
      <c r="F20" s="11" t="str">
        <f>_xlfn.XLOOKUP(Table27[[#This Row],[Emp ID]],Table1[Emp ID],Table1[Role as per SoW])</f>
        <v>Quality Engineer</v>
      </c>
      <c r="G20" s="2" t="str">
        <f>_xlfn.XLOOKUP(Table27[[#This Row],[Emp ID]],Table1[Emp ID],Table1[Name])</f>
        <v>employee15</v>
      </c>
      <c r="H20" s="2">
        <f>IF(Table27[[#This Row],[Status]]="Active",SUM(COUNT(Table27[[#This Row],[1]:[31]]), COUNTIF(Table27[[#This Row],[1]:[31]],"OFF"))*_xlfn.XLOOKUP(Table27[[#This Row],[Name]],Table1[Name],Table1[Billable Hours per day]),"")</f>
        <v>176</v>
      </c>
      <c r="I20" s="2">
        <f>IF(Table27[[#This Row],[Status]]="Active",SUM(Table27[[#This Row],[1]:[31]]),"")</f>
        <v>176</v>
      </c>
      <c r="J20" s="3">
        <v>28</v>
      </c>
      <c r="K20" s="14">
        <f>IFERROR(Table27[[#This Row],[Actual Hours]]*Table27[[#This Row],[Rate]],"")</f>
        <v>4928</v>
      </c>
      <c r="L20" s="7">
        <v>8</v>
      </c>
      <c r="M20" s="7">
        <v>8</v>
      </c>
      <c r="N20" s="7">
        <v>8</v>
      </c>
      <c r="O20" s="7">
        <v>8</v>
      </c>
      <c r="P20" s="7">
        <v>8</v>
      </c>
      <c r="Q20" s="7" t="s">
        <v>59</v>
      </c>
      <c r="R20" s="7" t="s">
        <v>59</v>
      </c>
      <c r="S20" s="7">
        <v>8</v>
      </c>
      <c r="T20" s="7">
        <v>8</v>
      </c>
      <c r="U20" s="7">
        <v>8</v>
      </c>
      <c r="V20" s="7">
        <v>8</v>
      </c>
      <c r="W20" s="7">
        <v>8</v>
      </c>
      <c r="X20" s="7" t="s">
        <v>59</v>
      </c>
      <c r="Y20" s="25" t="s">
        <v>59</v>
      </c>
      <c r="Z20" s="25">
        <v>8</v>
      </c>
      <c r="AA20" s="7">
        <v>8</v>
      </c>
      <c r="AB20" s="7">
        <v>8</v>
      </c>
      <c r="AC20" s="7">
        <v>8</v>
      </c>
      <c r="AD20" s="7">
        <v>8</v>
      </c>
      <c r="AE20" s="7" t="s">
        <v>59</v>
      </c>
      <c r="AF20" s="25" t="s">
        <v>59</v>
      </c>
      <c r="AG20" s="25">
        <v>8</v>
      </c>
      <c r="AH20" s="7">
        <v>8</v>
      </c>
      <c r="AI20" s="7">
        <v>8</v>
      </c>
      <c r="AJ20" s="7">
        <v>8</v>
      </c>
      <c r="AK20" s="7">
        <v>8</v>
      </c>
      <c r="AL20" s="7" t="s">
        <v>59</v>
      </c>
      <c r="AM20" s="25" t="s">
        <v>59</v>
      </c>
      <c r="AN20" s="25">
        <v>8</v>
      </c>
      <c r="AO20" s="7">
        <v>8</v>
      </c>
      <c r="AP20" s="7"/>
      <c r="AQ20" s="7" t="str">
        <f>_xlfn.IFNA(_xlfn.XLOOKUP(Table27[[#This Row],[Name]],Table1[Name],Table1[Status]),"")</f>
        <v>Active</v>
      </c>
      <c r="AR20" s="21">
        <f>Table27[[#This Row],[Actual Hours]]/Table27[[#This Row],[Max Billable Hours]]</f>
        <v>1</v>
      </c>
      <c r="AS20" s="38">
        <v>20</v>
      </c>
    </row>
    <row r="21" spans="2:45" x14ac:dyDescent="0.2">
      <c r="B21" s="36"/>
      <c r="C21" s="36"/>
      <c r="E21" s="10"/>
      <c r="F21" s="10"/>
      <c r="G21" s="2" t="s">
        <v>58</v>
      </c>
      <c r="H21" s="2">
        <f>SUBTOTAL(109,Table27[Max Billable Hours])</f>
        <v>2524</v>
      </c>
      <c r="I21" s="2">
        <f>SUBTOTAL(109,Table27[Actual Hours])</f>
        <v>2648</v>
      </c>
      <c r="J21" s="2"/>
      <c r="K21" s="16">
        <f>SUBTOTAL(109,Table27[Final Billing Amount])</f>
        <v>80264</v>
      </c>
      <c r="L21" s="10">
        <f>SUBTOTAL(109,Table27[1])</f>
        <v>120</v>
      </c>
      <c r="M21" s="10">
        <f>SUBTOTAL(109,Table27[2])</f>
        <v>120</v>
      </c>
      <c r="N21" s="10">
        <f>SUBTOTAL(109,Table27[3])</f>
        <v>120</v>
      </c>
      <c r="O21" s="10">
        <f>SUBTOTAL(109,Table27[4])</f>
        <v>120</v>
      </c>
      <c r="P21" s="10">
        <f>SUBTOTAL(109,Table27[5])</f>
        <v>120</v>
      </c>
      <c r="Q21" s="10">
        <f>SUBTOTAL(109,Table27[6])</f>
        <v>8</v>
      </c>
      <c r="R21" s="10">
        <f>SUBTOTAL(109,Table27[7])</f>
        <v>8</v>
      </c>
      <c r="S21" s="10">
        <f>SUBTOTAL(109,Table27[8])</f>
        <v>120</v>
      </c>
      <c r="T21" s="10">
        <f>SUBTOTAL(109,Table27[9])</f>
        <v>120</v>
      </c>
      <c r="U21" s="10">
        <f>SUBTOTAL(109,Table27[10])</f>
        <v>120</v>
      </c>
      <c r="V21" s="10">
        <f>SUBTOTAL(109,Table27[11])</f>
        <v>120</v>
      </c>
      <c r="W21" s="10">
        <f>SUBTOTAL(109,Table27[12])</f>
        <v>120</v>
      </c>
      <c r="X21" s="10">
        <f>SUBTOTAL(109,Table27[13])</f>
        <v>0</v>
      </c>
      <c r="Y21" s="10">
        <f>SUBTOTAL(109,Table27[14])</f>
        <v>0</v>
      </c>
      <c r="Z21" s="10">
        <f>SUBTOTAL(109,Table27[15])</f>
        <v>120</v>
      </c>
      <c r="AA21" s="10">
        <f>SUBTOTAL(109,Table27[16])</f>
        <v>120</v>
      </c>
      <c r="AB21" s="10">
        <f>SUBTOTAL(109,Table27[17])</f>
        <v>112</v>
      </c>
      <c r="AC21" s="10" t="s">
        <v>132</v>
      </c>
      <c r="AD21" s="10" t="s">
        <v>132</v>
      </c>
      <c r="AE21" s="10">
        <f>SUBTOTAL(109,Table27[20])</f>
        <v>0</v>
      </c>
      <c r="AF21" s="10">
        <f>SUBTOTAL(109,Table27[21])</f>
        <v>0</v>
      </c>
      <c r="AG21" s="10">
        <f>SUBTOTAL(109,Table27[22])</f>
        <v>120</v>
      </c>
      <c r="AH21" s="10">
        <f>SUBTOTAL(109,Table27[23])</f>
        <v>120</v>
      </c>
      <c r="AI21" s="10">
        <f>SUBTOTAL(109,Table27[24])</f>
        <v>120</v>
      </c>
      <c r="AJ21" s="10">
        <f>SUBTOTAL(109,Table27[25])</f>
        <v>120</v>
      </c>
      <c r="AK21" s="10">
        <f>SUBTOTAL(109,Table27[26])</f>
        <v>120</v>
      </c>
      <c r="AL21" s="10">
        <f>SUBTOTAL(109,Table27[27])</f>
        <v>0</v>
      </c>
      <c r="AM21" s="10">
        <f>SUBTOTAL(109,Table27[28])</f>
        <v>0</v>
      </c>
      <c r="AN21" s="10">
        <f>SUBTOTAL(109,Table27[29])</f>
        <v>120</v>
      </c>
      <c r="AO21" s="10">
        <f>SUBTOTAL(109,Table27[30])</f>
        <v>120</v>
      </c>
      <c r="AP21" s="10"/>
      <c r="AQ21" s="10"/>
      <c r="AR21" s="18">
        <f>Table27[[#Totals],[Actual Hours]]/Table27[[#Totals],[Max Billable Hours]]</f>
        <v>1.0491283676703644</v>
      </c>
      <c r="AS21" s="10"/>
    </row>
    <row r="23" spans="2:45" x14ac:dyDescent="0.2">
      <c r="B23" s="37" t="s">
        <v>20</v>
      </c>
      <c r="C23" s="37"/>
    </row>
    <row r="24" spans="2:45" x14ac:dyDescent="0.2">
      <c r="B24" s="31">
        <f>SUM(Table27[Actual Hours])</f>
        <v>2648</v>
      </c>
      <c r="C24" s="31"/>
    </row>
    <row r="25" spans="2:45" x14ac:dyDescent="0.2">
      <c r="B25" s="31"/>
      <c r="C25" s="31"/>
    </row>
    <row r="27" spans="2:45" x14ac:dyDescent="0.2">
      <c r="B27" s="26" t="s">
        <v>68</v>
      </c>
      <c r="C27" s="26"/>
    </row>
    <row r="28" spans="2:45" x14ac:dyDescent="0.2">
      <c r="B28" s="27">
        <f>SUM(Table27[Actual Hours])/SUM(Table27[Max Billable Hours])</f>
        <v>1.0491283676703644</v>
      </c>
      <c r="C28" s="27"/>
    </row>
    <row r="29" spans="2:45" x14ac:dyDescent="0.2">
      <c r="B29" s="27"/>
      <c r="C29" s="27"/>
    </row>
    <row r="31" spans="2:45" x14ac:dyDescent="0.2">
      <c r="B31" s="28"/>
      <c r="C31" s="28"/>
    </row>
    <row r="32" spans="2:45" x14ac:dyDescent="0.2">
      <c r="B32" s="29"/>
      <c r="C32" s="30"/>
    </row>
    <row r="33" spans="2:3" x14ac:dyDescent="0.2">
      <c r="B33" s="30"/>
      <c r="C33" s="30"/>
    </row>
  </sheetData>
  <mergeCells count="10">
    <mergeCell ref="B5:C5"/>
    <mergeCell ref="B6:C6"/>
    <mergeCell ref="B7:C7"/>
    <mergeCell ref="B9:C21"/>
    <mergeCell ref="B23:C23"/>
    <mergeCell ref="B27:C27"/>
    <mergeCell ref="B28:C29"/>
    <mergeCell ref="B31:C31"/>
    <mergeCell ref="B32:C33"/>
    <mergeCell ref="B24:C25"/>
  </mergeCells>
  <phoneticPr fontId="1" type="noConversion"/>
  <conditionalFormatting sqref="J4:AP4">
    <cfRule type="beginsWith" dxfId="47" priority="23" operator="beginsWith" text="S">
      <formula>LEFT(J4,LEN("S"))="S"</formula>
    </cfRule>
  </conditionalFormatting>
  <conditionalFormatting sqref="L6:AQ21">
    <cfRule type="beginsWith" dxfId="46" priority="20" operator="beginsWith" text="H">
      <formula>LEFT(L6,LEN("H"))="H"</formula>
    </cfRule>
    <cfRule type="containsText" dxfId="45" priority="21" operator="containsText" text="OF">
      <formula>NOT(ISERROR(SEARCH("OF",L6)))</formula>
    </cfRule>
    <cfRule type="containsText" dxfId="44" priority="22" operator="containsText" text="WO">
      <formula>NOT(ISERROR(SEARCH("WO",L6)))</formula>
    </cfRule>
  </conditionalFormatting>
  <dataValidations count="3">
    <dataValidation type="list" allowBlank="1" showInputMessage="1" showErrorMessage="1" sqref="C2" xr:uid="{2318C012-0F3F-44AC-B2B3-6AEC93739251}">
      <formula1>Year</formula1>
    </dataValidation>
    <dataValidation type="list" allowBlank="1" showInputMessage="1" showErrorMessage="1" sqref="B2" xr:uid="{019C5D70-A809-4316-8BE2-86F0403691D5}">
      <formula1>Month</formula1>
    </dataValidation>
    <dataValidation type="decimal" allowBlank="1" showInputMessage="1" showErrorMessage="1" error="Cell must contain a decimal value" sqref="J6:J20" xr:uid="{E290CCE4-4575-4A56-BADD-4C914D40B903}">
      <formula1>0</formula1>
      <formula2>200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7336A-3765-4D13-9885-4C654CCBDEF2}">
  <sheetPr codeName="Sheet1"/>
  <dimension ref="B1:H24"/>
  <sheetViews>
    <sheetView workbookViewId="0">
      <selection activeCell="F2" sqref="F2:F23"/>
    </sheetView>
  </sheetViews>
  <sheetFormatPr baseColWidth="10" defaultColWidth="8.83203125" defaultRowHeight="15" x14ac:dyDescent="0.2"/>
  <cols>
    <col min="2" max="2" width="15.6640625" customWidth="1"/>
    <col min="3" max="3" width="24.1640625" bestFit="1" customWidth="1"/>
    <col min="4" max="4" width="29.33203125" bestFit="1" customWidth="1"/>
    <col min="5" max="5" width="15.1640625" bestFit="1" customWidth="1"/>
    <col min="6" max="6" width="8.5" bestFit="1" customWidth="1"/>
    <col min="7" max="7" width="7.1640625" bestFit="1" customWidth="1"/>
    <col min="8" max="8" width="22.1640625" bestFit="1" customWidth="1"/>
  </cols>
  <sheetData>
    <row r="1" spans="2:8" x14ac:dyDescent="0.2">
      <c r="B1" t="s">
        <v>70</v>
      </c>
      <c r="C1" t="s">
        <v>2</v>
      </c>
      <c r="D1" t="s">
        <v>71</v>
      </c>
      <c r="E1" t="s">
        <v>0</v>
      </c>
      <c r="F1" t="s">
        <v>1</v>
      </c>
      <c r="G1" t="s">
        <v>3</v>
      </c>
      <c r="H1" t="s">
        <v>69</v>
      </c>
    </row>
    <row r="2" spans="2:8" x14ac:dyDescent="0.2">
      <c r="B2" s="20" t="s">
        <v>87</v>
      </c>
      <c r="C2" s="20" t="s">
        <v>109</v>
      </c>
      <c r="D2" s="20" t="s">
        <v>76</v>
      </c>
      <c r="E2" s="1">
        <v>45621</v>
      </c>
      <c r="F2" t="s">
        <v>61</v>
      </c>
      <c r="H2">
        <v>8</v>
      </c>
    </row>
    <row r="3" spans="2:8" x14ac:dyDescent="0.2">
      <c r="B3" s="20" t="s">
        <v>88</v>
      </c>
      <c r="C3" s="20" t="s">
        <v>110</v>
      </c>
      <c r="D3" s="20" t="s">
        <v>76</v>
      </c>
      <c r="E3" s="1">
        <v>45525</v>
      </c>
      <c r="F3" t="s">
        <v>61</v>
      </c>
      <c r="H3">
        <v>8</v>
      </c>
    </row>
    <row r="4" spans="2:8" x14ac:dyDescent="0.2">
      <c r="B4" s="20" t="s">
        <v>89</v>
      </c>
      <c r="C4" s="20" t="s">
        <v>111</v>
      </c>
      <c r="D4" s="20" t="s">
        <v>77</v>
      </c>
      <c r="E4" s="1">
        <v>45525</v>
      </c>
      <c r="F4" t="s">
        <v>61</v>
      </c>
      <c r="H4">
        <v>8</v>
      </c>
    </row>
    <row r="5" spans="2:8" x14ac:dyDescent="0.2">
      <c r="B5" s="20" t="s">
        <v>90</v>
      </c>
      <c r="C5" s="20" t="s">
        <v>112</v>
      </c>
      <c r="D5" s="20" t="s">
        <v>78</v>
      </c>
      <c r="E5" s="1">
        <v>45525</v>
      </c>
      <c r="F5" t="s">
        <v>61</v>
      </c>
      <c r="H5">
        <v>2</v>
      </c>
    </row>
    <row r="6" spans="2:8" x14ac:dyDescent="0.2">
      <c r="B6" s="20" t="s">
        <v>91</v>
      </c>
      <c r="C6" s="20" t="s">
        <v>113</v>
      </c>
      <c r="D6" s="20" t="s">
        <v>79</v>
      </c>
      <c r="E6" s="1">
        <v>45525</v>
      </c>
      <c r="F6" t="s">
        <v>61</v>
      </c>
      <c r="H6">
        <v>8</v>
      </c>
    </row>
    <row r="7" spans="2:8" x14ac:dyDescent="0.2">
      <c r="B7" s="20" t="s">
        <v>92</v>
      </c>
      <c r="C7" s="20" t="s">
        <v>114</v>
      </c>
      <c r="D7" s="20" t="s">
        <v>80</v>
      </c>
      <c r="E7" s="1">
        <v>45525</v>
      </c>
      <c r="F7" t="s">
        <v>61</v>
      </c>
      <c r="H7">
        <v>8</v>
      </c>
    </row>
    <row r="8" spans="2:8" x14ac:dyDescent="0.2">
      <c r="B8" s="20" t="s">
        <v>93</v>
      </c>
      <c r="C8" s="20" t="s">
        <v>115</v>
      </c>
      <c r="D8" s="20" t="s">
        <v>81</v>
      </c>
      <c r="E8" s="1">
        <v>45525</v>
      </c>
      <c r="F8" t="s">
        <v>61</v>
      </c>
      <c r="H8">
        <v>8</v>
      </c>
    </row>
    <row r="9" spans="2:8" x14ac:dyDescent="0.2">
      <c r="B9" s="20" t="s">
        <v>94</v>
      </c>
      <c r="C9" s="20" t="s">
        <v>116</v>
      </c>
      <c r="D9" s="20" t="s">
        <v>74</v>
      </c>
      <c r="E9" s="1">
        <v>45525</v>
      </c>
      <c r="F9" t="s">
        <v>61</v>
      </c>
      <c r="H9">
        <v>8</v>
      </c>
    </row>
    <row r="10" spans="2:8" x14ac:dyDescent="0.2">
      <c r="B10" s="20" t="s">
        <v>95</v>
      </c>
      <c r="C10" s="20" t="s">
        <v>117</v>
      </c>
      <c r="D10" s="20" t="s">
        <v>82</v>
      </c>
      <c r="E10" s="1">
        <v>45525</v>
      </c>
      <c r="F10" t="s">
        <v>61</v>
      </c>
      <c r="H10">
        <v>8</v>
      </c>
    </row>
    <row r="11" spans="2:8" x14ac:dyDescent="0.2">
      <c r="B11" s="20" t="s">
        <v>96</v>
      </c>
      <c r="C11" s="20" t="s">
        <v>118</v>
      </c>
      <c r="D11" s="20" t="s">
        <v>83</v>
      </c>
      <c r="E11" s="1">
        <v>45525</v>
      </c>
      <c r="F11" t="s">
        <v>61</v>
      </c>
      <c r="H11">
        <v>8</v>
      </c>
    </row>
    <row r="12" spans="2:8" x14ac:dyDescent="0.2">
      <c r="B12" s="20" t="s">
        <v>97</v>
      </c>
      <c r="C12" s="20" t="s">
        <v>119</v>
      </c>
      <c r="D12" s="20" t="s">
        <v>84</v>
      </c>
      <c r="E12" s="1">
        <v>45525</v>
      </c>
      <c r="F12" t="s">
        <v>61</v>
      </c>
      <c r="H12">
        <v>8</v>
      </c>
    </row>
    <row r="13" spans="2:8" x14ac:dyDescent="0.2">
      <c r="B13" s="20" t="s">
        <v>98</v>
      </c>
      <c r="C13" s="20" t="s">
        <v>120</v>
      </c>
      <c r="D13" s="22" t="s">
        <v>85</v>
      </c>
      <c r="E13" s="23">
        <v>45572</v>
      </c>
      <c r="F13" t="s">
        <v>61</v>
      </c>
      <c r="H13">
        <v>8</v>
      </c>
    </row>
    <row r="14" spans="2:8" x14ac:dyDescent="0.2">
      <c r="B14" s="20" t="s">
        <v>99</v>
      </c>
      <c r="C14" s="20" t="s">
        <v>121</v>
      </c>
      <c r="D14" s="22" t="s">
        <v>81</v>
      </c>
      <c r="E14" s="23">
        <v>45572</v>
      </c>
      <c r="F14" t="s">
        <v>61</v>
      </c>
      <c r="H14">
        <v>8</v>
      </c>
    </row>
    <row r="15" spans="2:8" x14ac:dyDescent="0.2">
      <c r="B15" s="20" t="s">
        <v>100</v>
      </c>
      <c r="C15" s="20" t="s">
        <v>122</v>
      </c>
      <c r="D15" s="24" t="s">
        <v>74</v>
      </c>
      <c r="E15" s="23">
        <v>45572</v>
      </c>
      <c r="F15" t="s">
        <v>61</v>
      </c>
      <c r="H15">
        <v>8</v>
      </c>
    </row>
    <row r="16" spans="2:8" x14ac:dyDescent="0.2">
      <c r="B16" s="20" t="s">
        <v>101</v>
      </c>
      <c r="C16" s="20" t="s">
        <v>123</v>
      </c>
      <c r="D16" s="22" t="s">
        <v>74</v>
      </c>
      <c r="E16" s="23">
        <v>24</v>
      </c>
      <c r="F16" t="s">
        <v>61</v>
      </c>
      <c r="H16">
        <v>8</v>
      </c>
    </row>
    <row r="17" spans="2:8" x14ac:dyDescent="0.2">
      <c r="B17" s="20" t="s">
        <v>102</v>
      </c>
      <c r="C17" s="20" t="s">
        <v>124</v>
      </c>
      <c r="D17" s="22" t="s">
        <v>80</v>
      </c>
      <c r="E17" s="23">
        <v>45572</v>
      </c>
      <c r="F17" t="s">
        <v>61</v>
      </c>
      <c r="H17">
        <v>8</v>
      </c>
    </row>
    <row r="18" spans="2:8" x14ac:dyDescent="0.2">
      <c r="B18" s="20" t="s">
        <v>103</v>
      </c>
      <c r="C18" s="20" t="s">
        <v>125</v>
      </c>
      <c r="D18" s="22" t="s">
        <v>81</v>
      </c>
      <c r="E18" s="23">
        <v>45587</v>
      </c>
      <c r="F18" t="s">
        <v>61</v>
      </c>
      <c r="H18">
        <v>8</v>
      </c>
    </row>
    <row r="19" spans="2:8" x14ac:dyDescent="0.2">
      <c r="B19" s="20" t="s">
        <v>104</v>
      </c>
      <c r="C19" s="20" t="s">
        <v>126</v>
      </c>
      <c r="D19" t="s">
        <v>75</v>
      </c>
      <c r="E19" s="1">
        <v>45525</v>
      </c>
      <c r="F19" t="s">
        <v>61</v>
      </c>
      <c r="H19">
        <v>2</v>
      </c>
    </row>
    <row r="20" spans="2:8" x14ac:dyDescent="0.2">
      <c r="B20" s="20" t="s">
        <v>105</v>
      </c>
      <c r="C20" s="20" t="s">
        <v>127</v>
      </c>
      <c r="D20" t="s">
        <v>78</v>
      </c>
      <c r="E20" s="1">
        <v>45600</v>
      </c>
      <c r="F20" t="s">
        <v>61</v>
      </c>
      <c r="H20">
        <v>2</v>
      </c>
    </row>
    <row r="21" spans="2:8" x14ac:dyDescent="0.2">
      <c r="B21" s="20" t="s">
        <v>106</v>
      </c>
      <c r="C21" s="20" t="s">
        <v>128</v>
      </c>
      <c r="D21" t="s">
        <v>86</v>
      </c>
      <c r="E21" s="1">
        <v>45621</v>
      </c>
      <c r="F21" t="s">
        <v>61</v>
      </c>
      <c r="H21">
        <v>8</v>
      </c>
    </row>
    <row r="22" spans="2:8" x14ac:dyDescent="0.2">
      <c r="B22" s="20" t="s">
        <v>107</v>
      </c>
      <c r="C22" s="20" t="s">
        <v>129</v>
      </c>
      <c r="D22" t="s">
        <v>80</v>
      </c>
      <c r="E22" s="1">
        <v>45637</v>
      </c>
      <c r="F22" t="s">
        <v>61</v>
      </c>
      <c r="H22">
        <v>8</v>
      </c>
    </row>
    <row r="23" spans="2:8" x14ac:dyDescent="0.2">
      <c r="B23" s="20" t="s">
        <v>108</v>
      </c>
      <c r="C23" s="20" t="s">
        <v>130</v>
      </c>
      <c r="D23" t="s">
        <v>80</v>
      </c>
      <c r="E23" s="1">
        <v>45643</v>
      </c>
      <c r="F23" t="s">
        <v>61</v>
      </c>
      <c r="H23">
        <v>8</v>
      </c>
    </row>
    <row r="24" spans="2:8" x14ac:dyDescent="0.2">
      <c r="E24" s="1"/>
    </row>
  </sheetData>
  <phoneticPr fontId="1" type="noConversion"/>
  <conditionalFormatting sqref="D13:D14">
    <cfRule type="expression" dxfId="43" priority="4">
      <formula>LEFT(#REF!,1)="S"</formula>
    </cfRule>
  </conditionalFormatting>
  <conditionalFormatting sqref="D18">
    <cfRule type="expression" dxfId="42" priority="1">
      <formula>LEFT(#REF!,1)="S"</formula>
    </cfRule>
  </conditionalFormatting>
  <dataValidations count="1">
    <dataValidation type="list" allowBlank="1" showInputMessage="1" showErrorMessage="1" sqref="F2:F24" xr:uid="{20BABE2D-EED7-468E-BAFC-0924EBF997CD}">
      <formula1>"Active, Inactive, Shadow"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3F124-43E9-49EE-8F6D-B39FC0C3CB37}">
  <dimension ref="B1:E13"/>
  <sheetViews>
    <sheetView workbookViewId="0">
      <selection activeCell="F14" sqref="F14"/>
    </sheetView>
  </sheetViews>
  <sheetFormatPr baseColWidth="10" defaultColWidth="8.83203125" defaultRowHeight="15" x14ac:dyDescent="0.2"/>
  <cols>
    <col min="2" max="2" width="10.83203125" bestFit="1" customWidth="1"/>
    <col min="3" max="3" width="10.83203125" customWidth="1"/>
  </cols>
  <sheetData>
    <row r="1" spans="2:5" x14ac:dyDescent="0.2">
      <c r="B1" t="s">
        <v>53</v>
      </c>
      <c r="C1" t="s">
        <v>55</v>
      </c>
      <c r="E1" t="s">
        <v>54</v>
      </c>
    </row>
    <row r="2" spans="2:5" x14ac:dyDescent="0.2">
      <c r="B2" t="s">
        <v>8</v>
      </c>
      <c r="C2">
        <v>1</v>
      </c>
      <c r="E2">
        <v>2021</v>
      </c>
    </row>
    <row r="3" spans="2:5" x14ac:dyDescent="0.2">
      <c r="B3" t="s">
        <v>9</v>
      </c>
      <c r="C3">
        <v>2</v>
      </c>
      <c r="E3">
        <v>2022</v>
      </c>
    </row>
    <row r="4" spans="2:5" x14ac:dyDescent="0.2">
      <c r="B4" t="s">
        <v>10</v>
      </c>
      <c r="C4">
        <v>3</v>
      </c>
      <c r="E4">
        <v>2023</v>
      </c>
    </row>
    <row r="5" spans="2:5" x14ac:dyDescent="0.2">
      <c r="B5" t="s">
        <v>11</v>
      </c>
      <c r="C5">
        <v>4</v>
      </c>
      <c r="E5">
        <v>2024</v>
      </c>
    </row>
    <row r="6" spans="2:5" x14ac:dyDescent="0.2">
      <c r="B6" t="s">
        <v>12</v>
      </c>
      <c r="C6">
        <v>5</v>
      </c>
    </row>
    <row r="7" spans="2:5" x14ac:dyDescent="0.2">
      <c r="B7" t="s">
        <v>13</v>
      </c>
      <c r="C7">
        <v>6</v>
      </c>
    </row>
    <row r="8" spans="2:5" x14ac:dyDescent="0.2">
      <c r="B8" t="s">
        <v>7</v>
      </c>
      <c r="C8">
        <v>7</v>
      </c>
    </row>
    <row r="9" spans="2:5" x14ac:dyDescent="0.2">
      <c r="B9" t="s">
        <v>14</v>
      </c>
      <c r="C9">
        <v>8</v>
      </c>
    </row>
    <row r="10" spans="2:5" x14ac:dyDescent="0.2">
      <c r="B10" t="s">
        <v>15</v>
      </c>
      <c r="C10">
        <v>9</v>
      </c>
    </row>
    <row r="11" spans="2:5" x14ac:dyDescent="0.2">
      <c r="B11" t="s">
        <v>16</v>
      </c>
      <c r="C11">
        <v>10</v>
      </c>
    </row>
    <row r="12" spans="2:5" x14ac:dyDescent="0.2">
      <c r="B12" t="s">
        <v>17</v>
      </c>
      <c r="C12">
        <v>11</v>
      </c>
    </row>
    <row r="13" spans="2:5" x14ac:dyDescent="0.2">
      <c r="B13" t="s">
        <v>18</v>
      </c>
      <c r="C13">
        <v>12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Instructions</vt:lpstr>
      <vt:lpstr>December '24</vt:lpstr>
      <vt:lpstr>Team</vt:lpstr>
      <vt:lpstr>Data</vt:lpstr>
      <vt:lpstr>'December ''24'!Month</vt:lpstr>
      <vt:lpstr>Month</vt:lpstr>
      <vt:lpstr>'December ''24'!Team</vt:lpstr>
      <vt:lpstr>Team</vt:lpstr>
      <vt:lpstr>'December ''24'!Year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Singh</dc:creator>
  <cp:lastModifiedBy>Suresh Narayana Swamy</cp:lastModifiedBy>
  <dcterms:created xsi:type="dcterms:W3CDTF">2021-07-29T07:17:28Z</dcterms:created>
  <dcterms:modified xsi:type="dcterms:W3CDTF">2026-04-23T16:33:34Z</dcterms:modified>
</cp:coreProperties>
</file>