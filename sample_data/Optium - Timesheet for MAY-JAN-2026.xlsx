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https://accionglobal-my.sharepoint.com/personal/prameela_rendeddula_accionlabs_com/Documents/"/>
    </mc:Choice>
  </mc:AlternateContent>
  <xr:revisionPtr revIDLastSave="0" documentId="8_{18BEA562-BD82-4D42-AB0D-5177E044D6EA}" xr6:coauthVersionLast="47" xr6:coauthVersionMax="47" xr10:uidLastSave="{00000000-0000-0000-0000-000000000000}"/>
  <bookViews>
    <workbookView xWindow="0" yWindow="760" windowWidth="34560" windowHeight="19960" activeTab="5" xr2:uid="{00000000-000D-0000-FFFF-FFFF00000000}"/>
  </bookViews>
  <sheets>
    <sheet name="JUNE'25" sheetId="16" state="hidden" r:id="rId1"/>
    <sheet name="SEPTEMBER'25" sheetId="19" state="hidden" r:id="rId2"/>
    <sheet name="OCTOBER'25" sheetId="20" state="hidden" r:id="rId3"/>
    <sheet name="NOVEMBER'25 (2)" sheetId="21" state="hidden" r:id="rId4"/>
    <sheet name="MAY'26" sheetId="23" r:id="rId5"/>
    <sheet name="JAN'26" sheetId="24" r:id="rId6"/>
    <sheet name="FEBRUARY'26" sheetId="22" state="hidden" r:id="rId7"/>
    <sheet name="JANUARY'26" sheetId="18" state="hidden" r:id="rId8"/>
    <sheet name="AUGUST'25" sheetId="17" state="hidden" r:id="rId9"/>
    <sheet name="JULY'25" sheetId="15" state="hidden" r:id="rId10"/>
    <sheet name="APRIL" sheetId="14" state="hidden" r:id="rId11"/>
    <sheet name="MARCH" sheetId="13" state="hidden" r:id="rId12"/>
    <sheet name="JAN'25" sheetId="1" state="hidden" r:id="rId13"/>
    <sheet name="FEB24" sheetId="2" state="hidden" r:id="rId14"/>
    <sheet name="MAR24" sheetId="3" state="hidden" r:id="rId15"/>
    <sheet name="APR24" sheetId="4" state="hidden" r:id="rId16"/>
    <sheet name="MAY24" sheetId="5" state="hidden" r:id="rId17"/>
    <sheet name="JUN24" sheetId="6" state="hidden" r:id="rId18"/>
    <sheet name="JUL24" sheetId="7" state="hidden" r:id="rId19"/>
    <sheet name="AUG24" sheetId="8" state="hidden" r:id="rId20"/>
    <sheet name="SEP24" sheetId="9" state="hidden" r:id="rId21"/>
    <sheet name="OCT24" sheetId="10" state="hidden" r:id="rId22"/>
    <sheet name="NOV24" sheetId="11" state="hidden" r:id="rId23"/>
    <sheet name="DEC24" sheetId="12" state="hidden" r:id="rId2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7" i="24" l="1"/>
  <c r="C56" i="24"/>
  <c r="C55" i="24"/>
  <c r="C57" i="24" s="1"/>
  <c r="B50" i="24"/>
  <c r="C49" i="24"/>
  <c r="C48" i="24"/>
  <c r="C50" i="24" s="1"/>
  <c r="C59" i="24" s="1"/>
  <c r="B43" i="24"/>
  <c r="C43" i="24" s="1"/>
  <c r="D43" i="24" s="1"/>
  <c r="B42" i="24"/>
  <c r="C42" i="24" s="1"/>
  <c r="D42" i="24" s="1"/>
  <c r="B41" i="24"/>
  <c r="C41" i="24" s="1"/>
  <c r="D41" i="24" s="1"/>
  <c r="B40" i="24"/>
  <c r="C40" i="24" s="1"/>
  <c r="D40" i="24" s="1"/>
  <c r="U30" i="24"/>
  <c r="T30" i="24"/>
  <c r="S30" i="24"/>
  <c r="R30" i="24"/>
  <c r="Q30" i="24"/>
  <c r="P30" i="24"/>
  <c r="O30" i="24"/>
  <c r="N30" i="24"/>
  <c r="M30" i="24"/>
  <c r="L30" i="24"/>
  <c r="K30" i="24"/>
  <c r="J30" i="24"/>
  <c r="I30" i="24"/>
  <c r="H30" i="24"/>
  <c r="Y25" i="24"/>
  <c r="G25" i="24"/>
  <c r="F25" i="24" s="1"/>
  <c r="E25" i="24"/>
  <c r="D25" i="24"/>
  <c r="Y24" i="24"/>
  <c r="G24" i="24"/>
  <c r="F24" i="24"/>
  <c r="E24" i="24"/>
  <c r="D24" i="24"/>
  <c r="Y23" i="24"/>
  <c r="G23" i="24"/>
  <c r="F23" i="24" s="1"/>
  <c r="E23" i="24"/>
  <c r="D23" i="24" s="1"/>
  <c r="Y22" i="24"/>
  <c r="G22" i="24"/>
  <c r="F22" i="24" s="1"/>
  <c r="E22" i="24"/>
  <c r="D22" i="24"/>
  <c r="Y21" i="24"/>
  <c r="G21" i="24"/>
  <c r="F21" i="24" s="1"/>
  <c r="E21" i="24"/>
  <c r="D21" i="24" s="1"/>
  <c r="Y20" i="24"/>
  <c r="G20" i="24"/>
  <c r="E20" i="24"/>
  <c r="E30" i="24" s="1"/>
  <c r="D20" i="24"/>
  <c r="D30" i="24" s="1"/>
  <c r="W15" i="24"/>
  <c r="V15" i="24"/>
  <c r="U15" i="24"/>
  <c r="T15" i="24"/>
  <c r="S15" i="24"/>
  <c r="R15" i="24"/>
  <c r="Q15" i="24"/>
  <c r="P15" i="24"/>
  <c r="O15" i="24"/>
  <c r="N15" i="24"/>
  <c r="M15" i="24"/>
  <c r="L15" i="24"/>
  <c r="K15" i="24"/>
  <c r="J15" i="24"/>
  <c r="I15" i="24"/>
  <c r="H15" i="24"/>
  <c r="X10" i="24"/>
  <c r="G10" i="24"/>
  <c r="B39" i="24" s="1"/>
  <c r="D39" i="24" s="1"/>
  <c r="F10" i="24"/>
  <c r="E10" i="24"/>
  <c r="C39" i="24" s="1"/>
  <c r="D10" i="24"/>
  <c r="X9" i="24"/>
  <c r="G9" i="24"/>
  <c r="F9" i="24"/>
  <c r="B38" i="24" s="1"/>
  <c r="D38" i="24" s="1"/>
  <c r="E9" i="24"/>
  <c r="C38" i="24" s="1"/>
  <c r="D9" i="24"/>
  <c r="X8" i="24"/>
  <c r="G8" i="24"/>
  <c r="F8" i="24"/>
  <c r="D37" i="24" s="1"/>
  <c r="E8" i="24"/>
  <c r="C37" i="24" s="1"/>
  <c r="D8" i="24"/>
  <c r="X7" i="24"/>
  <c r="G7" i="24"/>
  <c r="F7" i="24"/>
  <c r="B36" i="24" s="1"/>
  <c r="D36" i="24" s="1"/>
  <c r="E7" i="24"/>
  <c r="C36" i="24" s="1"/>
  <c r="D7" i="24"/>
  <c r="X6" i="24"/>
  <c r="G6" i="24"/>
  <c r="F6" i="24" s="1"/>
  <c r="B35" i="24" s="1"/>
  <c r="D35" i="24" s="1"/>
  <c r="E6" i="24"/>
  <c r="C35" i="24" s="1"/>
  <c r="D6" i="24"/>
  <c r="X5" i="24"/>
  <c r="G5" i="24"/>
  <c r="G15" i="24" s="1"/>
  <c r="F5" i="24"/>
  <c r="E5" i="24"/>
  <c r="D5" i="24"/>
  <c r="D15" i="24" s="1"/>
  <c r="I3" i="24"/>
  <c r="B57" i="23"/>
  <c r="C56" i="23"/>
  <c r="C55" i="23"/>
  <c r="B50" i="23"/>
  <c r="C49" i="23"/>
  <c r="C48" i="23"/>
  <c r="C50" i="23" s="1"/>
  <c r="B43" i="23"/>
  <c r="C43" i="23" s="1"/>
  <c r="D43" i="23" s="1"/>
  <c r="B42" i="23"/>
  <c r="C42" i="23" s="1"/>
  <c r="D42" i="23" s="1"/>
  <c r="B41" i="23"/>
  <c r="C41" i="23" s="1"/>
  <c r="D41" i="23" s="1"/>
  <c r="B40" i="23"/>
  <c r="C40" i="23" s="1"/>
  <c r="D40" i="23" s="1"/>
  <c r="U30" i="23"/>
  <c r="T30" i="23"/>
  <c r="S30" i="23"/>
  <c r="R30" i="23"/>
  <c r="Q30" i="23"/>
  <c r="P30" i="23"/>
  <c r="O30" i="23"/>
  <c r="N30" i="23"/>
  <c r="M30" i="23"/>
  <c r="L30" i="23"/>
  <c r="K30" i="23"/>
  <c r="J30" i="23"/>
  <c r="I30" i="23"/>
  <c r="H30" i="23"/>
  <c r="Y25" i="23"/>
  <c r="G25" i="23"/>
  <c r="F25" i="23" s="1"/>
  <c r="E25" i="23"/>
  <c r="D25" i="23" s="1"/>
  <c r="Y24" i="23"/>
  <c r="G24" i="23"/>
  <c r="F24" i="23" s="1"/>
  <c r="E24" i="23"/>
  <c r="D24" i="23"/>
  <c r="Y23" i="23"/>
  <c r="G23" i="23"/>
  <c r="F23" i="23" s="1"/>
  <c r="E23" i="23"/>
  <c r="D23" i="23"/>
  <c r="Y22" i="23"/>
  <c r="G22" i="23"/>
  <c r="F22" i="23"/>
  <c r="E22" i="23"/>
  <c r="D22" i="23"/>
  <c r="Y21" i="23"/>
  <c r="G21" i="23"/>
  <c r="F21" i="23" s="1"/>
  <c r="E21" i="23"/>
  <c r="D21" i="23" s="1"/>
  <c r="Y20" i="23"/>
  <c r="G20" i="23"/>
  <c r="F20" i="23" s="1"/>
  <c r="E20" i="23"/>
  <c r="D20" i="23" s="1"/>
  <c r="W15" i="23"/>
  <c r="V15" i="23"/>
  <c r="U15" i="23"/>
  <c r="T15" i="23"/>
  <c r="S15" i="23"/>
  <c r="R15" i="23"/>
  <c r="Q15" i="23"/>
  <c r="P15" i="23"/>
  <c r="O15" i="23"/>
  <c r="N15" i="23"/>
  <c r="M15" i="23"/>
  <c r="L15" i="23"/>
  <c r="K15" i="23"/>
  <c r="J15" i="23"/>
  <c r="I15" i="23"/>
  <c r="H15" i="23"/>
  <c r="X10" i="23"/>
  <c r="G10" i="23"/>
  <c r="E10" i="23"/>
  <c r="D10" i="23"/>
  <c r="X9" i="23"/>
  <c r="G9" i="23"/>
  <c r="F9" i="23" s="1"/>
  <c r="E9" i="23"/>
  <c r="D9" i="23" s="1"/>
  <c r="X8" i="23"/>
  <c r="G8" i="23"/>
  <c r="F8" i="23" s="1"/>
  <c r="E8" i="23"/>
  <c r="C37" i="23" s="1"/>
  <c r="D8" i="23"/>
  <c r="X7" i="23"/>
  <c r="G7" i="23"/>
  <c r="F7" i="23"/>
  <c r="E7" i="23"/>
  <c r="D7" i="23"/>
  <c r="X6" i="23"/>
  <c r="G6" i="23"/>
  <c r="F6" i="23" s="1"/>
  <c r="E6" i="23"/>
  <c r="D6" i="23" s="1"/>
  <c r="X5" i="23"/>
  <c r="G5" i="23"/>
  <c r="F5" i="23"/>
  <c r="E5" i="23"/>
  <c r="D5" i="23"/>
  <c r="I3" i="23"/>
  <c r="B57" i="22"/>
  <c r="C56" i="22"/>
  <c r="C55" i="22"/>
  <c r="C57" i="22" s="1"/>
  <c r="B50" i="22"/>
  <c r="C49" i="22"/>
  <c r="C48" i="22"/>
  <c r="C50" i="22" s="1"/>
  <c r="C59" i="22" s="1"/>
  <c r="B43" i="22"/>
  <c r="C43" i="22" s="1"/>
  <c r="D43" i="22" s="1"/>
  <c r="B42" i="22"/>
  <c r="C42" i="22" s="1"/>
  <c r="D42" i="22" s="1"/>
  <c r="B41" i="22"/>
  <c r="C41" i="22" s="1"/>
  <c r="D41" i="22" s="1"/>
  <c r="B40" i="22"/>
  <c r="C40" i="22" s="1"/>
  <c r="D40" i="22" s="1"/>
  <c r="U30" i="22"/>
  <c r="T30" i="22"/>
  <c r="S30" i="22"/>
  <c r="R30" i="22"/>
  <c r="Q30" i="22"/>
  <c r="P30" i="22"/>
  <c r="O30" i="22"/>
  <c r="N30" i="22"/>
  <c r="M30" i="22"/>
  <c r="L30" i="22"/>
  <c r="K30" i="22"/>
  <c r="J30" i="22"/>
  <c r="I30" i="22"/>
  <c r="H30" i="22"/>
  <c r="Y25" i="22"/>
  <c r="G25" i="22"/>
  <c r="F25" i="22"/>
  <c r="E25" i="22"/>
  <c r="D25" i="22"/>
  <c r="Y24" i="22"/>
  <c r="G24" i="22"/>
  <c r="F24" i="22"/>
  <c r="E24" i="22"/>
  <c r="D24" i="22"/>
  <c r="Y23" i="22"/>
  <c r="G23" i="22"/>
  <c r="F23" i="22"/>
  <c r="E23" i="22"/>
  <c r="D23" i="22"/>
  <c r="Y22" i="22"/>
  <c r="G22" i="22"/>
  <c r="F22" i="22"/>
  <c r="E22" i="22"/>
  <c r="D22" i="22"/>
  <c r="Y21" i="22"/>
  <c r="G21" i="22"/>
  <c r="F21" i="22"/>
  <c r="E21" i="22"/>
  <c r="D21" i="22"/>
  <c r="Y20" i="22"/>
  <c r="G20" i="22"/>
  <c r="G30" i="22" s="1"/>
  <c r="F20" i="22"/>
  <c r="F30" i="22" s="1"/>
  <c r="E20" i="22"/>
  <c r="E30" i="22" s="1"/>
  <c r="D20" i="22"/>
  <c r="D30" i="22" s="1"/>
  <c r="W15" i="22"/>
  <c r="V15" i="22"/>
  <c r="U15" i="22"/>
  <c r="T15" i="22"/>
  <c r="S15" i="22"/>
  <c r="R15" i="22"/>
  <c r="Q15" i="22"/>
  <c r="P15" i="22"/>
  <c r="O15" i="22"/>
  <c r="N15" i="22"/>
  <c r="M15" i="22"/>
  <c r="L15" i="22"/>
  <c r="K15" i="22"/>
  <c r="J15" i="22"/>
  <c r="I15" i="22"/>
  <c r="H15" i="22"/>
  <c r="X10" i="22"/>
  <c r="G10" i="22"/>
  <c r="B39" i="22" s="1"/>
  <c r="D39" i="22" s="1"/>
  <c r="F10" i="22"/>
  <c r="E10" i="22"/>
  <c r="C39" i="22" s="1"/>
  <c r="D10" i="22"/>
  <c r="X9" i="22"/>
  <c r="G9" i="22"/>
  <c r="F9" i="22"/>
  <c r="B38" i="22" s="1"/>
  <c r="D38" i="22" s="1"/>
  <c r="E9" i="22"/>
  <c r="C38" i="22" s="1"/>
  <c r="D9" i="22"/>
  <c r="X8" i="22"/>
  <c r="G8" i="22"/>
  <c r="F8" i="22"/>
  <c r="B37" i="22" s="1"/>
  <c r="D37" i="22" s="1"/>
  <c r="E8" i="22"/>
  <c r="C37" i="22" s="1"/>
  <c r="D8" i="22"/>
  <c r="X7" i="22"/>
  <c r="G7" i="22"/>
  <c r="F7" i="22"/>
  <c r="B36" i="22" s="1"/>
  <c r="D36" i="22" s="1"/>
  <c r="E7" i="22"/>
  <c r="C36" i="22" s="1"/>
  <c r="D7" i="22"/>
  <c r="X6" i="22"/>
  <c r="G6" i="22"/>
  <c r="F6" i="22"/>
  <c r="B35" i="22" s="1"/>
  <c r="D35" i="22" s="1"/>
  <c r="E6" i="22"/>
  <c r="C35" i="22" s="1"/>
  <c r="D6" i="22"/>
  <c r="X5" i="22"/>
  <c r="G5" i="22"/>
  <c r="G15" i="22" s="1"/>
  <c r="F5" i="22"/>
  <c r="E5" i="22"/>
  <c r="D5" i="22"/>
  <c r="D15" i="22" s="1"/>
  <c r="I3" i="22"/>
  <c r="G5" i="18"/>
  <c r="B57" i="21"/>
  <c r="C56" i="21"/>
  <c r="C55" i="21"/>
  <c r="C57" i="21" s="1"/>
  <c r="B50" i="21"/>
  <c r="C49" i="21"/>
  <c r="C48" i="21"/>
  <c r="C50" i="21" s="1"/>
  <c r="C59" i="21" s="1"/>
  <c r="B43" i="21"/>
  <c r="C43" i="21" s="1"/>
  <c r="D43" i="21" s="1"/>
  <c r="B42" i="21"/>
  <c r="C42" i="21" s="1"/>
  <c r="D42" i="21" s="1"/>
  <c r="B41" i="21"/>
  <c r="C41" i="21" s="1"/>
  <c r="D41" i="21" s="1"/>
  <c r="B40" i="21"/>
  <c r="C40" i="21" s="1"/>
  <c r="D40" i="21" s="1"/>
  <c r="U30" i="21"/>
  <c r="T30" i="21"/>
  <c r="S30" i="21"/>
  <c r="R30" i="21"/>
  <c r="Q30" i="21"/>
  <c r="P30" i="21"/>
  <c r="O30" i="21"/>
  <c r="N30" i="21"/>
  <c r="M30" i="21"/>
  <c r="L30" i="21"/>
  <c r="K30" i="21"/>
  <c r="J30" i="21"/>
  <c r="I30" i="21"/>
  <c r="H30" i="21"/>
  <c r="Y25" i="21"/>
  <c r="G25" i="21"/>
  <c r="F25" i="21"/>
  <c r="E25" i="21"/>
  <c r="D25" i="21"/>
  <c r="Y24" i="21"/>
  <c r="G24" i="21"/>
  <c r="F24" i="21"/>
  <c r="E24" i="21"/>
  <c r="D24" i="21"/>
  <c r="Y23" i="21"/>
  <c r="G23" i="21"/>
  <c r="F23" i="21"/>
  <c r="E23" i="21"/>
  <c r="D23" i="21"/>
  <c r="Y22" i="21"/>
  <c r="G22" i="21"/>
  <c r="F22" i="21"/>
  <c r="E22" i="21"/>
  <c r="D22" i="21"/>
  <c r="Y21" i="21"/>
  <c r="G21" i="21"/>
  <c r="F21" i="21"/>
  <c r="E21" i="21"/>
  <c r="D21" i="21"/>
  <c r="Y20" i="21"/>
  <c r="G20" i="21"/>
  <c r="G30" i="21" s="1"/>
  <c r="F20" i="21"/>
  <c r="F30" i="21" s="1"/>
  <c r="E20" i="21"/>
  <c r="E30" i="21" s="1"/>
  <c r="D20" i="21"/>
  <c r="D30" i="21" s="1"/>
  <c r="W15" i="21"/>
  <c r="V15" i="21"/>
  <c r="U15" i="21"/>
  <c r="T15" i="21"/>
  <c r="S15" i="21"/>
  <c r="R15" i="21"/>
  <c r="Q15" i="21"/>
  <c r="P15" i="21"/>
  <c r="O15" i="21"/>
  <c r="N15" i="21"/>
  <c r="M15" i="21"/>
  <c r="L15" i="21"/>
  <c r="K15" i="21"/>
  <c r="J15" i="21"/>
  <c r="I15" i="21"/>
  <c r="H15" i="21"/>
  <c r="X10" i="21"/>
  <c r="G10" i="21"/>
  <c r="B39" i="21" s="1"/>
  <c r="D39" i="21" s="1"/>
  <c r="F10" i="21"/>
  <c r="E10" i="21"/>
  <c r="C39" i="21" s="1"/>
  <c r="D10" i="21"/>
  <c r="X9" i="21"/>
  <c r="G9" i="21"/>
  <c r="F9" i="21"/>
  <c r="B38" i="21" s="1"/>
  <c r="D38" i="21" s="1"/>
  <c r="E9" i="21"/>
  <c r="C38" i="21" s="1"/>
  <c r="D9" i="21"/>
  <c r="X8" i="21"/>
  <c r="G8" i="21"/>
  <c r="F8" i="21"/>
  <c r="B37" i="21" s="1"/>
  <c r="D37" i="21" s="1"/>
  <c r="E8" i="21"/>
  <c r="C37" i="21" s="1"/>
  <c r="D8" i="21"/>
  <c r="X7" i="21"/>
  <c r="G7" i="21"/>
  <c r="F7" i="21"/>
  <c r="B36" i="21" s="1"/>
  <c r="D36" i="21" s="1"/>
  <c r="E7" i="21"/>
  <c r="C36" i="21" s="1"/>
  <c r="D7" i="21"/>
  <c r="X6" i="21"/>
  <c r="G6" i="21"/>
  <c r="F6" i="21"/>
  <c r="B35" i="21" s="1"/>
  <c r="D35" i="21" s="1"/>
  <c r="E6" i="21"/>
  <c r="C35" i="21" s="1"/>
  <c r="D6" i="21"/>
  <c r="X5" i="21"/>
  <c r="G5" i="21"/>
  <c r="G15" i="21" s="1"/>
  <c r="F5" i="21"/>
  <c r="E5" i="21"/>
  <c r="D5" i="21"/>
  <c r="D15" i="21" s="1"/>
  <c r="I3" i="21"/>
  <c r="B57" i="20"/>
  <c r="C56" i="20"/>
  <c r="C55" i="20"/>
  <c r="C57" i="20" s="1"/>
  <c r="B50" i="20"/>
  <c r="C49" i="20"/>
  <c r="C48" i="20"/>
  <c r="C50" i="20" s="1"/>
  <c r="C59" i="20" s="1"/>
  <c r="B43" i="20"/>
  <c r="C43" i="20" s="1"/>
  <c r="D43" i="20" s="1"/>
  <c r="B42" i="20"/>
  <c r="C42" i="20" s="1"/>
  <c r="D42" i="20" s="1"/>
  <c r="B41" i="20"/>
  <c r="C41" i="20" s="1"/>
  <c r="D41" i="20" s="1"/>
  <c r="B40" i="20"/>
  <c r="C40" i="20" s="1"/>
  <c r="D40" i="20" s="1"/>
  <c r="U30" i="20"/>
  <c r="T30" i="20"/>
  <c r="S30" i="20"/>
  <c r="R30" i="20"/>
  <c r="Q30" i="20"/>
  <c r="P30" i="20"/>
  <c r="O30" i="20"/>
  <c r="N30" i="20"/>
  <c r="M30" i="20"/>
  <c r="L30" i="20"/>
  <c r="K30" i="20"/>
  <c r="J30" i="20"/>
  <c r="I30" i="20"/>
  <c r="H30" i="20"/>
  <c r="Y25" i="20"/>
  <c r="G25" i="20"/>
  <c r="F25" i="20"/>
  <c r="E25" i="20"/>
  <c r="D25" i="20"/>
  <c r="Y24" i="20"/>
  <c r="G24" i="20"/>
  <c r="F24" i="20"/>
  <c r="E24" i="20"/>
  <c r="D24" i="20"/>
  <c r="Y23" i="20"/>
  <c r="G23" i="20"/>
  <c r="F23" i="20"/>
  <c r="E23" i="20"/>
  <c r="D23" i="20"/>
  <c r="Y22" i="20"/>
  <c r="G22" i="20"/>
  <c r="F22" i="20"/>
  <c r="E22" i="20"/>
  <c r="D22" i="20"/>
  <c r="Y21" i="20"/>
  <c r="G21" i="20"/>
  <c r="F21" i="20"/>
  <c r="E21" i="20"/>
  <c r="D21" i="20"/>
  <c r="Y20" i="20"/>
  <c r="G20" i="20"/>
  <c r="G30" i="20" s="1"/>
  <c r="F20" i="20"/>
  <c r="F30" i="20" s="1"/>
  <c r="E20" i="20"/>
  <c r="E30" i="20" s="1"/>
  <c r="D20" i="20"/>
  <c r="D30" i="20" s="1"/>
  <c r="W15" i="20"/>
  <c r="V15" i="20"/>
  <c r="U15" i="20"/>
  <c r="T15" i="20"/>
  <c r="S15" i="20"/>
  <c r="R15" i="20"/>
  <c r="Q15" i="20"/>
  <c r="P15" i="20"/>
  <c r="O15" i="20"/>
  <c r="N15" i="20"/>
  <c r="M15" i="20"/>
  <c r="L15" i="20"/>
  <c r="K15" i="20"/>
  <c r="J15" i="20"/>
  <c r="I15" i="20"/>
  <c r="H15" i="20"/>
  <c r="X10" i="20"/>
  <c r="G10" i="20"/>
  <c r="B39" i="20" s="1"/>
  <c r="D39" i="20" s="1"/>
  <c r="F10" i="20"/>
  <c r="E10" i="20"/>
  <c r="C39" i="20" s="1"/>
  <c r="D10" i="20"/>
  <c r="X9" i="20"/>
  <c r="G9" i="20"/>
  <c r="F9" i="20"/>
  <c r="B38" i="20" s="1"/>
  <c r="D38" i="20" s="1"/>
  <c r="E9" i="20"/>
  <c r="C38" i="20" s="1"/>
  <c r="D9" i="20"/>
  <c r="X8" i="20"/>
  <c r="G8" i="20"/>
  <c r="F8" i="20"/>
  <c r="B37" i="20" s="1"/>
  <c r="D37" i="20" s="1"/>
  <c r="E8" i="20"/>
  <c r="C37" i="20" s="1"/>
  <c r="D8" i="20"/>
  <c r="X7" i="20"/>
  <c r="G7" i="20"/>
  <c r="F7" i="20"/>
  <c r="B36" i="20" s="1"/>
  <c r="D36" i="20" s="1"/>
  <c r="E7" i="20"/>
  <c r="C36" i="20" s="1"/>
  <c r="D7" i="20"/>
  <c r="X6" i="20"/>
  <c r="G6" i="20"/>
  <c r="F6" i="20"/>
  <c r="B35" i="20" s="1"/>
  <c r="D35" i="20" s="1"/>
  <c r="E6" i="20"/>
  <c r="C35" i="20" s="1"/>
  <c r="D6" i="20"/>
  <c r="X5" i="20"/>
  <c r="G5" i="20"/>
  <c r="G15" i="20" s="1"/>
  <c r="F5" i="20"/>
  <c r="E5" i="20"/>
  <c r="D5" i="20"/>
  <c r="D15" i="20" s="1"/>
  <c r="I3" i="20"/>
  <c r="Y23" i="18"/>
  <c r="X5" i="18"/>
  <c r="B57" i="19"/>
  <c r="C56" i="19"/>
  <c r="C55" i="19"/>
  <c r="C57" i="19" s="1"/>
  <c r="B50" i="19"/>
  <c r="C49" i="19"/>
  <c r="C48" i="19"/>
  <c r="C50" i="19" s="1"/>
  <c r="C59" i="19" s="1"/>
  <c r="B43" i="19"/>
  <c r="C43" i="19" s="1"/>
  <c r="D43" i="19" s="1"/>
  <c r="B42" i="19"/>
  <c r="C42" i="19" s="1"/>
  <c r="D42" i="19" s="1"/>
  <c r="B41" i="19"/>
  <c r="C41" i="19" s="1"/>
  <c r="D41" i="19" s="1"/>
  <c r="B40" i="19"/>
  <c r="C40" i="19" s="1"/>
  <c r="D40" i="19" s="1"/>
  <c r="U30" i="19"/>
  <c r="T30" i="19"/>
  <c r="S30" i="19"/>
  <c r="R30" i="19"/>
  <c r="Q30" i="19"/>
  <c r="P30" i="19"/>
  <c r="O30" i="19"/>
  <c r="N30" i="19"/>
  <c r="M30" i="19"/>
  <c r="L30" i="19"/>
  <c r="K30" i="19"/>
  <c r="J30" i="19"/>
  <c r="I30" i="19"/>
  <c r="H30" i="19"/>
  <c r="Y25" i="19"/>
  <c r="G25" i="19"/>
  <c r="F25" i="19"/>
  <c r="E25" i="19"/>
  <c r="D25" i="19"/>
  <c r="Y24" i="19"/>
  <c r="G24" i="19"/>
  <c r="F24" i="19"/>
  <c r="E24" i="19"/>
  <c r="D24" i="19"/>
  <c r="G23" i="19"/>
  <c r="F23" i="19"/>
  <c r="E23" i="19"/>
  <c r="D23" i="19"/>
  <c r="Y22" i="19"/>
  <c r="G22" i="19"/>
  <c r="F22" i="19"/>
  <c r="E22" i="19"/>
  <c r="D22" i="19"/>
  <c r="Y21" i="19"/>
  <c r="G21" i="19"/>
  <c r="F21" i="19"/>
  <c r="E21" i="19"/>
  <c r="D21" i="19"/>
  <c r="Y20" i="19"/>
  <c r="G20" i="19"/>
  <c r="G30" i="19" s="1"/>
  <c r="F20" i="19"/>
  <c r="F30" i="19" s="1"/>
  <c r="E20" i="19"/>
  <c r="E30" i="19" s="1"/>
  <c r="D20" i="19"/>
  <c r="D30" i="19" s="1"/>
  <c r="X19" i="19"/>
  <c r="W15" i="19"/>
  <c r="V15" i="19"/>
  <c r="U15" i="19"/>
  <c r="T15" i="19"/>
  <c r="S15" i="19"/>
  <c r="R15" i="19"/>
  <c r="Q15" i="19"/>
  <c r="P15" i="19"/>
  <c r="O15" i="19"/>
  <c r="N15" i="19"/>
  <c r="M15" i="19"/>
  <c r="L15" i="19"/>
  <c r="K15" i="19"/>
  <c r="J15" i="19"/>
  <c r="I15" i="19"/>
  <c r="H15" i="19"/>
  <c r="X10" i="19"/>
  <c r="G10" i="19"/>
  <c r="B39" i="19" s="1"/>
  <c r="D39" i="19" s="1"/>
  <c r="F10" i="19"/>
  <c r="E10" i="19"/>
  <c r="C39" i="19" s="1"/>
  <c r="D10" i="19"/>
  <c r="X9" i="19"/>
  <c r="G9" i="19"/>
  <c r="F9" i="19"/>
  <c r="B38" i="19" s="1"/>
  <c r="D38" i="19" s="1"/>
  <c r="E9" i="19"/>
  <c r="C38" i="19" s="1"/>
  <c r="D9" i="19"/>
  <c r="X8" i="19"/>
  <c r="G8" i="19"/>
  <c r="F8" i="19"/>
  <c r="B37" i="19" s="1"/>
  <c r="D37" i="19" s="1"/>
  <c r="E8" i="19"/>
  <c r="C37" i="19" s="1"/>
  <c r="D8" i="19"/>
  <c r="X7" i="19"/>
  <c r="G7" i="19"/>
  <c r="F7" i="19"/>
  <c r="B36" i="19" s="1"/>
  <c r="D36" i="19" s="1"/>
  <c r="E7" i="19"/>
  <c r="C36" i="19" s="1"/>
  <c r="D7" i="19"/>
  <c r="X6" i="19"/>
  <c r="G6" i="19"/>
  <c r="F6" i="19"/>
  <c r="B35" i="19" s="1"/>
  <c r="D35" i="19" s="1"/>
  <c r="E6" i="19"/>
  <c r="C35" i="19" s="1"/>
  <c r="D6" i="19"/>
  <c r="X5" i="19"/>
  <c r="G5" i="19"/>
  <c r="G15" i="19" s="1"/>
  <c r="F5" i="19"/>
  <c r="E5" i="19"/>
  <c r="D5" i="19"/>
  <c r="D15" i="19" s="1"/>
  <c r="I3" i="19"/>
  <c r="B57" i="18"/>
  <c r="C56" i="18"/>
  <c r="C55" i="18"/>
  <c r="C57" i="18" s="1"/>
  <c r="B50" i="18"/>
  <c r="C49" i="18"/>
  <c r="C48" i="18"/>
  <c r="C50" i="18" s="1"/>
  <c r="C59" i="18" s="1"/>
  <c r="B43" i="18"/>
  <c r="C43" i="18" s="1"/>
  <c r="D43" i="18" s="1"/>
  <c r="B42" i="18"/>
  <c r="C42" i="18" s="1"/>
  <c r="D42" i="18" s="1"/>
  <c r="B41" i="18"/>
  <c r="C41" i="18" s="1"/>
  <c r="D41" i="18" s="1"/>
  <c r="B40" i="18"/>
  <c r="C40" i="18" s="1"/>
  <c r="D40" i="18" s="1"/>
  <c r="U30" i="18"/>
  <c r="T30" i="18"/>
  <c r="S30" i="18"/>
  <c r="R30" i="18"/>
  <c r="Q30" i="18"/>
  <c r="P30" i="18"/>
  <c r="O30" i="18"/>
  <c r="N30" i="18"/>
  <c r="M30" i="18"/>
  <c r="L30" i="18"/>
  <c r="K30" i="18"/>
  <c r="J30" i="18"/>
  <c r="I30" i="18"/>
  <c r="H30" i="18"/>
  <c r="Y25" i="18"/>
  <c r="G25" i="18"/>
  <c r="F25" i="18"/>
  <c r="E25" i="18"/>
  <c r="D25" i="18"/>
  <c r="Y24" i="18"/>
  <c r="G24" i="18"/>
  <c r="F24" i="18"/>
  <c r="E24" i="18"/>
  <c r="D24" i="18"/>
  <c r="G23" i="18"/>
  <c r="F23" i="18"/>
  <c r="E23" i="18"/>
  <c r="D23" i="18"/>
  <c r="Y22" i="18"/>
  <c r="G22" i="18"/>
  <c r="F22" i="18"/>
  <c r="E22" i="18"/>
  <c r="D22" i="18"/>
  <c r="Y21" i="18"/>
  <c r="G21" i="18"/>
  <c r="F21" i="18"/>
  <c r="E21" i="18"/>
  <c r="D21" i="18"/>
  <c r="Y20" i="18"/>
  <c r="G20" i="18"/>
  <c r="G30" i="18" s="1"/>
  <c r="F20" i="18"/>
  <c r="F30" i="18" s="1"/>
  <c r="E20" i="18"/>
  <c r="E30" i="18" s="1"/>
  <c r="D20" i="18"/>
  <c r="D30" i="18" s="1"/>
  <c r="W15" i="18"/>
  <c r="V15" i="18"/>
  <c r="U15" i="18"/>
  <c r="T15" i="18"/>
  <c r="S15" i="18"/>
  <c r="R15" i="18"/>
  <c r="Q15" i="18"/>
  <c r="P15" i="18"/>
  <c r="O15" i="18"/>
  <c r="N15" i="18"/>
  <c r="M15" i="18"/>
  <c r="L15" i="18"/>
  <c r="K15" i="18"/>
  <c r="J15" i="18"/>
  <c r="I15" i="18"/>
  <c r="H15" i="18"/>
  <c r="X10" i="18"/>
  <c r="G10" i="18"/>
  <c r="B39" i="18" s="1"/>
  <c r="D39" i="18" s="1"/>
  <c r="F10" i="18"/>
  <c r="E10" i="18"/>
  <c r="C39" i="18" s="1"/>
  <c r="D10" i="18"/>
  <c r="X9" i="18"/>
  <c r="G9" i="18"/>
  <c r="F9" i="18"/>
  <c r="B38" i="18" s="1"/>
  <c r="D38" i="18" s="1"/>
  <c r="E9" i="18"/>
  <c r="C38" i="18" s="1"/>
  <c r="D9" i="18"/>
  <c r="X8" i="18"/>
  <c r="G8" i="18"/>
  <c r="F8" i="18"/>
  <c r="B37" i="18" s="1"/>
  <c r="D37" i="18" s="1"/>
  <c r="E8" i="18"/>
  <c r="C37" i="18" s="1"/>
  <c r="D8" i="18"/>
  <c r="X7" i="18"/>
  <c r="G7" i="18"/>
  <c r="F7" i="18"/>
  <c r="B36" i="18" s="1"/>
  <c r="D36" i="18" s="1"/>
  <c r="E7" i="18"/>
  <c r="C36" i="18" s="1"/>
  <c r="D7" i="18"/>
  <c r="X6" i="18"/>
  <c r="G6" i="18"/>
  <c r="F6" i="18"/>
  <c r="B35" i="18" s="1"/>
  <c r="D35" i="18" s="1"/>
  <c r="E6" i="18"/>
  <c r="C35" i="18" s="1"/>
  <c r="D6" i="18"/>
  <c r="G15" i="18"/>
  <c r="F5" i="18"/>
  <c r="E5" i="18"/>
  <c r="D5" i="18"/>
  <c r="D15" i="18" s="1"/>
  <c r="I3" i="18"/>
  <c r="B57" i="17"/>
  <c r="C56" i="17"/>
  <c r="C55" i="17"/>
  <c r="C57" i="17" s="1"/>
  <c r="B50" i="17"/>
  <c r="C49" i="17"/>
  <c r="C48" i="17"/>
  <c r="C50" i="17" s="1"/>
  <c r="C59" i="17" s="1"/>
  <c r="B43" i="17"/>
  <c r="C43" i="17" s="1"/>
  <c r="D43" i="17" s="1"/>
  <c r="B42" i="17"/>
  <c r="C42" i="17" s="1"/>
  <c r="D42" i="17" s="1"/>
  <c r="B41" i="17"/>
  <c r="C41" i="17" s="1"/>
  <c r="D41" i="17" s="1"/>
  <c r="B40" i="17"/>
  <c r="C40" i="17" s="1"/>
  <c r="D40" i="17" s="1"/>
  <c r="U30" i="17"/>
  <c r="T30" i="17"/>
  <c r="S30" i="17"/>
  <c r="R30" i="17"/>
  <c r="Q30" i="17"/>
  <c r="P30" i="17"/>
  <c r="O30" i="17"/>
  <c r="N30" i="17"/>
  <c r="M30" i="17"/>
  <c r="L30" i="17"/>
  <c r="K30" i="17"/>
  <c r="J30" i="17"/>
  <c r="I30" i="17"/>
  <c r="H30" i="17"/>
  <c r="Y25" i="17"/>
  <c r="G25" i="17"/>
  <c r="F25" i="17"/>
  <c r="E25" i="17"/>
  <c r="D25" i="17"/>
  <c r="Y24" i="17"/>
  <c r="G24" i="17"/>
  <c r="F24" i="17"/>
  <c r="E24" i="17"/>
  <c r="D24" i="17"/>
  <c r="G23" i="17"/>
  <c r="F23" i="17"/>
  <c r="E23" i="17"/>
  <c r="D23" i="17"/>
  <c r="Y22" i="17"/>
  <c r="G22" i="17"/>
  <c r="F22" i="17"/>
  <c r="E22" i="17"/>
  <c r="D22" i="17"/>
  <c r="Y21" i="17"/>
  <c r="G21" i="17"/>
  <c r="F21" i="17"/>
  <c r="E21" i="17"/>
  <c r="D21" i="17"/>
  <c r="Y20" i="17"/>
  <c r="G20" i="17"/>
  <c r="G30" i="17" s="1"/>
  <c r="F20" i="17"/>
  <c r="F30" i="17" s="1"/>
  <c r="E20" i="17"/>
  <c r="E30" i="17" s="1"/>
  <c r="D20" i="17"/>
  <c r="D30" i="17" s="1"/>
  <c r="W15" i="17"/>
  <c r="V15" i="17"/>
  <c r="U15" i="17"/>
  <c r="T15" i="17"/>
  <c r="S15" i="17"/>
  <c r="R15" i="17"/>
  <c r="Q15" i="17"/>
  <c r="P15" i="17"/>
  <c r="O15" i="17"/>
  <c r="N15" i="17"/>
  <c r="M15" i="17"/>
  <c r="L15" i="17"/>
  <c r="K15" i="17"/>
  <c r="J15" i="17"/>
  <c r="I15" i="17"/>
  <c r="H15" i="17"/>
  <c r="X10" i="17"/>
  <c r="G10" i="17"/>
  <c r="B39" i="17" s="1"/>
  <c r="D39" i="17" s="1"/>
  <c r="F10" i="17"/>
  <c r="E10" i="17"/>
  <c r="C39" i="17" s="1"/>
  <c r="D10" i="17"/>
  <c r="X9" i="17"/>
  <c r="G9" i="17"/>
  <c r="F9" i="17"/>
  <c r="B38" i="17" s="1"/>
  <c r="D38" i="17" s="1"/>
  <c r="E9" i="17"/>
  <c r="C38" i="17" s="1"/>
  <c r="D9" i="17"/>
  <c r="X8" i="17"/>
  <c r="G8" i="17"/>
  <c r="F8" i="17"/>
  <c r="B37" i="17" s="1"/>
  <c r="D37" i="17" s="1"/>
  <c r="E8" i="17"/>
  <c r="C37" i="17" s="1"/>
  <c r="D8" i="17"/>
  <c r="X7" i="17"/>
  <c r="G7" i="17"/>
  <c r="F7" i="17"/>
  <c r="B36" i="17" s="1"/>
  <c r="D36" i="17" s="1"/>
  <c r="E7" i="17"/>
  <c r="C36" i="17" s="1"/>
  <c r="D7" i="17"/>
  <c r="X6" i="17"/>
  <c r="G6" i="17"/>
  <c r="F6" i="17"/>
  <c r="B35" i="17" s="1"/>
  <c r="D35" i="17" s="1"/>
  <c r="E6" i="17"/>
  <c r="C35" i="17" s="1"/>
  <c r="D6" i="17"/>
  <c r="X5" i="17"/>
  <c r="G5" i="17"/>
  <c r="G15" i="17" s="1"/>
  <c r="F5" i="17"/>
  <c r="E5" i="17"/>
  <c r="D5" i="17"/>
  <c r="D15" i="17" s="1"/>
  <c r="I3" i="17"/>
  <c r="B57" i="16"/>
  <c r="C56" i="16"/>
  <c r="C55" i="16"/>
  <c r="C57" i="16" s="1"/>
  <c r="B50" i="16"/>
  <c r="C49" i="16"/>
  <c r="C48" i="16"/>
  <c r="C50" i="16" s="1"/>
  <c r="C59" i="16" s="1"/>
  <c r="B43" i="16"/>
  <c r="C43" i="16" s="1"/>
  <c r="D43" i="16" s="1"/>
  <c r="B42" i="16"/>
  <c r="C42" i="16" s="1"/>
  <c r="D42" i="16" s="1"/>
  <c r="B41" i="16"/>
  <c r="C41" i="16" s="1"/>
  <c r="D41" i="16" s="1"/>
  <c r="B40" i="16"/>
  <c r="C40" i="16" s="1"/>
  <c r="D40" i="16" s="1"/>
  <c r="U30" i="16"/>
  <c r="T30" i="16"/>
  <c r="S30" i="16"/>
  <c r="R30" i="16"/>
  <c r="Q30" i="16"/>
  <c r="P30" i="16"/>
  <c r="O30" i="16"/>
  <c r="N30" i="16"/>
  <c r="M30" i="16"/>
  <c r="L30" i="16"/>
  <c r="K30" i="16"/>
  <c r="J30" i="16"/>
  <c r="I30" i="16"/>
  <c r="H30" i="16"/>
  <c r="Y25" i="16"/>
  <c r="G25" i="16"/>
  <c r="F25" i="16"/>
  <c r="E25" i="16"/>
  <c r="D25" i="16"/>
  <c r="Y24" i="16"/>
  <c r="G24" i="16"/>
  <c r="F24" i="16"/>
  <c r="E24" i="16"/>
  <c r="D24" i="16"/>
  <c r="Y23" i="16"/>
  <c r="G23" i="16"/>
  <c r="F23" i="16"/>
  <c r="E23" i="16"/>
  <c r="D23" i="16"/>
  <c r="Y22" i="16"/>
  <c r="G22" i="16"/>
  <c r="F22" i="16"/>
  <c r="E22" i="16"/>
  <c r="D22" i="16"/>
  <c r="Y21" i="16"/>
  <c r="G21" i="16"/>
  <c r="F21" i="16"/>
  <c r="E21" i="16"/>
  <c r="D21" i="16"/>
  <c r="Y20" i="16"/>
  <c r="G20" i="16"/>
  <c r="G30" i="16" s="1"/>
  <c r="F20" i="16"/>
  <c r="F30" i="16" s="1"/>
  <c r="E20" i="16"/>
  <c r="E30" i="16" s="1"/>
  <c r="D20" i="16"/>
  <c r="D30" i="16" s="1"/>
  <c r="W15" i="16"/>
  <c r="V15" i="16"/>
  <c r="U15" i="16"/>
  <c r="T15" i="16"/>
  <c r="S15" i="16"/>
  <c r="R15" i="16"/>
  <c r="Q15" i="16"/>
  <c r="P15" i="16"/>
  <c r="O15" i="16"/>
  <c r="N15" i="16"/>
  <c r="M15" i="16"/>
  <c r="L15" i="16"/>
  <c r="K15" i="16"/>
  <c r="J15" i="16"/>
  <c r="I15" i="16"/>
  <c r="H15" i="16"/>
  <c r="X10" i="16"/>
  <c r="G10" i="16"/>
  <c r="B39" i="16" s="1"/>
  <c r="D39" i="16" s="1"/>
  <c r="F10" i="16"/>
  <c r="E10" i="16"/>
  <c r="C39" i="16" s="1"/>
  <c r="D10" i="16"/>
  <c r="X9" i="16"/>
  <c r="G9" i="16"/>
  <c r="F9" i="16"/>
  <c r="B38" i="16" s="1"/>
  <c r="D38" i="16" s="1"/>
  <c r="E9" i="16"/>
  <c r="C38" i="16" s="1"/>
  <c r="D9" i="16"/>
  <c r="X8" i="16"/>
  <c r="G8" i="16"/>
  <c r="F8" i="16"/>
  <c r="B37" i="16" s="1"/>
  <c r="D37" i="16" s="1"/>
  <c r="E8" i="16"/>
  <c r="C37" i="16" s="1"/>
  <c r="D8" i="16"/>
  <c r="X7" i="16"/>
  <c r="G7" i="16"/>
  <c r="F7" i="16"/>
  <c r="B36" i="16" s="1"/>
  <c r="D36" i="16" s="1"/>
  <c r="E7" i="16"/>
  <c r="C36" i="16" s="1"/>
  <c r="D7" i="16"/>
  <c r="X6" i="16"/>
  <c r="G6" i="16"/>
  <c r="F6" i="16"/>
  <c r="B35" i="16" s="1"/>
  <c r="D35" i="16" s="1"/>
  <c r="E6" i="16"/>
  <c r="C35" i="16" s="1"/>
  <c r="D6" i="16"/>
  <c r="X5" i="16"/>
  <c r="G5" i="16"/>
  <c r="G15" i="16" s="1"/>
  <c r="F5" i="16"/>
  <c r="E5" i="16"/>
  <c r="D5" i="16"/>
  <c r="D15" i="16" s="1"/>
  <c r="I3" i="16"/>
  <c r="B57" i="15"/>
  <c r="C56" i="15"/>
  <c r="C55" i="15"/>
  <c r="C57" i="15" s="1"/>
  <c r="B50" i="15"/>
  <c r="C49" i="15"/>
  <c r="C48" i="15"/>
  <c r="C50" i="15" s="1"/>
  <c r="C59" i="15" s="1"/>
  <c r="B43" i="15"/>
  <c r="C43" i="15" s="1"/>
  <c r="D43" i="15" s="1"/>
  <c r="B42" i="15"/>
  <c r="C42" i="15" s="1"/>
  <c r="D42" i="15" s="1"/>
  <c r="B41" i="15"/>
  <c r="C41" i="15" s="1"/>
  <c r="D41" i="15" s="1"/>
  <c r="B40" i="15"/>
  <c r="C40" i="15" s="1"/>
  <c r="D40" i="15" s="1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Y25" i="15"/>
  <c r="G25" i="15"/>
  <c r="F25" i="15"/>
  <c r="E25" i="15"/>
  <c r="D25" i="15"/>
  <c r="Y24" i="15"/>
  <c r="G24" i="15"/>
  <c r="F24" i="15"/>
  <c r="E24" i="15"/>
  <c r="D24" i="15"/>
  <c r="Y23" i="15"/>
  <c r="G23" i="15"/>
  <c r="F23" i="15"/>
  <c r="E23" i="15"/>
  <c r="D23" i="15"/>
  <c r="Y22" i="15"/>
  <c r="G22" i="15"/>
  <c r="F22" i="15"/>
  <c r="E22" i="15"/>
  <c r="D22" i="15"/>
  <c r="Y21" i="15"/>
  <c r="G21" i="15"/>
  <c r="F21" i="15"/>
  <c r="E21" i="15"/>
  <c r="D21" i="15"/>
  <c r="Y20" i="15"/>
  <c r="G20" i="15"/>
  <c r="G30" i="15" s="1"/>
  <c r="F20" i="15"/>
  <c r="F30" i="15" s="1"/>
  <c r="E20" i="15"/>
  <c r="E30" i="15" s="1"/>
  <c r="D20" i="15"/>
  <c r="D30" i="15" s="1"/>
  <c r="W15" i="15"/>
  <c r="V15" i="15"/>
  <c r="U15" i="15"/>
  <c r="T15" i="15"/>
  <c r="S15" i="15"/>
  <c r="R15" i="15"/>
  <c r="Q15" i="15"/>
  <c r="P15" i="15"/>
  <c r="O15" i="15"/>
  <c r="N15" i="15"/>
  <c r="M15" i="15"/>
  <c r="L15" i="15"/>
  <c r="K15" i="15"/>
  <c r="J15" i="15"/>
  <c r="I15" i="15"/>
  <c r="H15" i="15"/>
  <c r="X10" i="15"/>
  <c r="G10" i="15"/>
  <c r="B39" i="15" s="1"/>
  <c r="D39" i="15" s="1"/>
  <c r="F10" i="15"/>
  <c r="E10" i="15"/>
  <c r="C39" i="15" s="1"/>
  <c r="D10" i="15"/>
  <c r="X9" i="15"/>
  <c r="G9" i="15"/>
  <c r="F9" i="15"/>
  <c r="B38" i="15" s="1"/>
  <c r="D38" i="15" s="1"/>
  <c r="E9" i="15"/>
  <c r="C38" i="15" s="1"/>
  <c r="D9" i="15"/>
  <c r="X8" i="15"/>
  <c r="G8" i="15"/>
  <c r="F8" i="15"/>
  <c r="B37" i="15" s="1"/>
  <c r="D37" i="15" s="1"/>
  <c r="E8" i="15"/>
  <c r="C37" i="15" s="1"/>
  <c r="D8" i="15"/>
  <c r="X7" i="15"/>
  <c r="G7" i="15"/>
  <c r="F7" i="15"/>
  <c r="B36" i="15" s="1"/>
  <c r="D36" i="15" s="1"/>
  <c r="E7" i="15"/>
  <c r="C36" i="15" s="1"/>
  <c r="D7" i="15"/>
  <c r="X6" i="15"/>
  <c r="G6" i="15"/>
  <c r="F6" i="15"/>
  <c r="B35" i="15" s="1"/>
  <c r="D35" i="15" s="1"/>
  <c r="E6" i="15"/>
  <c r="C35" i="15" s="1"/>
  <c r="D6" i="15"/>
  <c r="X5" i="15"/>
  <c r="G5" i="15"/>
  <c r="G15" i="15" s="1"/>
  <c r="F5" i="15"/>
  <c r="E5" i="15"/>
  <c r="D5" i="15"/>
  <c r="D15" i="15" s="1"/>
  <c r="I3" i="15"/>
  <c r="B57" i="14"/>
  <c r="C56" i="14"/>
  <c r="C55" i="14"/>
  <c r="C57" i="14" s="1"/>
  <c r="B50" i="14"/>
  <c r="C49" i="14"/>
  <c r="C48" i="14"/>
  <c r="C50" i="14" s="1"/>
  <c r="C59" i="14" s="1"/>
  <c r="B43" i="14"/>
  <c r="C43" i="14" s="1"/>
  <c r="D43" i="14" s="1"/>
  <c r="B42" i="14"/>
  <c r="C42" i="14" s="1"/>
  <c r="D42" i="14" s="1"/>
  <c r="B41" i="14"/>
  <c r="C41" i="14" s="1"/>
  <c r="D41" i="14" s="1"/>
  <c r="B40" i="14"/>
  <c r="C40" i="14" s="1"/>
  <c r="D40" i="14" s="1"/>
  <c r="U30" i="14"/>
  <c r="T30" i="14"/>
  <c r="S30" i="14"/>
  <c r="R30" i="14"/>
  <c r="Q30" i="14"/>
  <c r="P30" i="14"/>
  <c r="O30" i="14"/>
  <c r="N30" i="14"/>
  <c r="M30" i="14"/>
  <c r="L30" i="14"/>
  <c r="K30" i="14"/>
  <c r="J30" i="14"/>
  <c r="I30" i="14"/>
  <c r="H30" i="14"/>
  <c r="Y25" i="14"/>
  <c r="G25" i="14"/>
  <c r="F25" i="14"/>
  <c r="E25" i="14"/>
  <c r="D25" i="14"/>
  <c r="Y24" i="14"/>
  <c r="G24" i="14"/>
  <c r="F24" i="14"/>
  <c r="E24" i="14"/>
  <c r="D24" i="14"/>
  <c r="Y23" i="14"/>
  <c r="G23" i="14"/>
  <c r="F23" i="14"/>
  <c r="E23" i="14"/>
  <c r="D23" i="14"/>
  <c r="Y22" i="14"/>
  <c r="G22" i="14"/>
  <c r="F22" i="14"/>
  <c r="E22" i="14"/>
  <c r="D22" i="14"/>
  <c r="Y21" i="14"/>
  <c r="G21" i="14"/>
  <c r="F21" i="14"/>
  <c r="E21" i="14"/>
  <c r="D21" i="14"/>
  <c r="Y20" i="14"/>
  <c r="G20" i="14"/>
  <c r="G30" i="14" s="1"/>
  <c r="F20" i="14"/>
  <c r="F30" i="14" s="1"/>
  <c r="E20" i="14"/>
  <c r="E30" i="14" s="1"/>
  <c r="D20" i="14"/>
  <c r="D30" i="14" s="1"/>
  <c r="W15" i="14"/>
  <c r="V15" i="14"/>
  <c r="U15" i="14"/>
  <c r="T15" i="14"/>
  <c r="S15" i="14"/>
  <c r="R15" i="14"/>
  <c r="Q15" i="14"/>
  <c r="P15" i="14"/>
  <c r="O15" i="14"/>
  <c r="N15" i="14"/>
  <c r="M15" i="14"/>
  <c r="L15" i="14"/>
  <c r="K15" i="14"/>
  <c r="J15" i="14"/>
  <c r="I15" i="14"/>
  <c r="H15" i="14"/>
  <c r="X10" i="14"/>
  <c r="G10" i="14"/>
  <c r="B39" i="14" s="1"/>
  <c r="D39" i="14" s="1"/>
  <c r="F10" i="14"/>
  <c r="E10" i="14"/>
  <c r="C39" i="14" s="1"/>
  <c r="D10" i="14"/>
  <c r="X9" i="14"/>
  <c r="G9" i="14"/>
  <c r="F9" i="14"/>
  <c r="B38" i="14" s="1"/>
  <c r="D38" i="14" s="1"/>
  <c r="E9" i="14"/>
  <c r="C38" i="14" s="1"/>
  <c r="D9" i="14"/>
  <c r="X8" i="14"/>
  <c r="G8" i="14"/>
  <c r="F8" i="14"/>
  <c r="B37" i="14" s="1"/>
  <c r="D37" i="14" s="1"/>
  <c r="E8" i="14"/>
  <c r="C37" i="14" s="1"/>
  <c r="D8" i="14"/>
  <c r="X7" i="14"/>
  <c r="G7" i="14"/>
  <c r="F7" i="14"/>
  <c r="B36" i="14" s="1"/>
  <c r="D36" i="14" s="1"/>
  <c r="E7" i="14"/>
  <c r="C36" i="14" s="1"/>
  <c r="D7" i="14"/>
  <c r="X6" i="14"/>
  <c r="G6" i="14"/>
  <c r="F6" i="14"/>
  <c r="B35" i="14" s="1"/>
  <c r="D35" i="14" s="1"/>
  <c r="E6" i="14"/>
  <c r="C35" i="14" s="1"/>
  <c r="D6" i="14"/>
  <c r="X5" i="14"/>
  <c r="G5" i="14"/>
  <c r="G15" i="14" s="1"/>
  <c r="F5" i="14"/>
  <c r="E5" i="14"/>
  <c r="D5" i="14"/>
  <c r="D15" i="14" s="1"/>
  <c r="I3" i="14"/>
  <c r="B57" i="13"/>
  <c r="C56" i="13"/>
  <c r="C55" i="13"/>
  <c r="C57" i="13" s="1"/>
  <c r="B50" i="13"/>
  <c r="C49" i="13"/>
  <c r="C48" i="13"/>
  <c r="C50" i="13" s="1"/>
  <c r="C59" i="13" s="1"/>
  <c r="B43" i="13"/>
  <c r="C43" i="13" s="1"/>
  <c r="D43" i="13" s="1"/>
  <c r="B42" i="13"/>
  <c r="C42" i="13" s="1"/>
  <c r="D42" i="13" s="1"/>
  <c r="B41" i="13"/>
  <c r="C41" i="13" s="1"/>
  <c r="D41" i="13" s="1"/>
  <c r="B40" i="13"/>
  <c r="C40" i="13" s="1"/>
  <c r="D40" i="13" s="1"/>
  <c r="U30" i="13"/>
  <c r="T30" i="13"/>
  <c r="S30" i="13"/>
  <c r="R30" i="13"/>
  <c r="Q30" i="13"/>
  <c r="P30" i="13"/>
  <c r="O30" i="13"/>
  <c r="N30" i="13"/>
  <c r="M30" i="13"/>
  <c r="L30" i="13"/>
  <c r="K30" i="13"/>
  <c r="J30" i="13"/>
  <c r="I30" i="13"/>
  <c r="H30" i="13"/>
  <c r="Y25" i="13"/>
  <c r="G25" i="13"/>
  <c r="F25" i="13"/>
  <c r="E25" i="13"/>
  <c r="D25" i="13"/>
  <c r="Y24" i="13"/>
  <c r="G24" i="13"/>
  <c r="F24" i="13"/>
  <c r="E24" i="13"/>
  <c r="D24" i="13"/>
  <c r="Y23" i="13"/>
  <c r="G23" i="13"/>
  <c r="F23" i="13"/>
  <c r="E23" i="13"/>
  <c r="D23" i="13"/>
  <c r="Y22" i="13"/>
  <c r="G22" i="13"/>
  <c r="F22" i="13"/>
  <c r="E22" i="13"/>
  <c r="D22" i="13"/>
  <c r="Y21" i="13"/>
  <c r="G21" i="13"/>
  <c r="F21" i="13"/>
  <c r="E21" i="13"/>
  <c r="D21" i="13"/>
  <c r="Y20" i="13"/>
  <c r="G20" i="13"/>
  <c r="G30" i="13" s="1"/>
  <c r="F20" i="13"/>
  <c r="F30" i="13" s="1"/>
  <c r="E20" i="13"/>
  <c r="E30" i="13" s="1"/>
  <c r="D20" i="13"/>
  <c r="D30" i="13" s="1"/>
  <c r="W15" i="13"/>
  <c r="V15" i="13"/>
  <c r="U15" i="13"/>
  <c r="T15" i="13"/>
  <c r="S15" i="13"/>
  <c r="R15" i="13"/>
  <c r="Q15" i="13"/>
  <c r="P15" i="13"/>
  <c r="O15" i="13"/>
  <c r="N15" i="13"/>
  <c r="M15" i="13"/>
  <c r="L15" i="13"/>
  <c r="K15" i="13"/>
  <c r="J15" i="13"/>
  <c r="I15" i="13"/>
  <c r="H15" i="13"/>
  <c r="X10" i="13"/>
  <c r="G10" i="13"/>
  <c r="B39" i="13" s="1"/>
  <c r="D39" i="13" s="1"/>
  <c r="F10" i="13"/>
  <c r="E10" i="13"/>
  <c r="C39" i="13" s="1"/>
  <c r="D10" i="13"/>
  <c r="X9" i="13"/>
  <c r="G9" i="13"/>
  <c r="F9" i="13"/>
  <c r="B38" i="13" s="1"/>
  <c r="D38" i="13" s="1"/>
  <c r="E9" i="13"/>
  <c r="C38" i="13" s="1"/>
  <c r="D9" i="13"/>
  <c r="X8" i="13"/>
  <c r="G8" i="13"/>
  <c r="F8" i="13"/>
  <c r="B37" i="13" s="1"/>
  <c r="D37" i="13" s="1"/>
  <c r="E8" i="13"/>
  <c r="C37" i="13" s="1"/>
  <c r="D8" i="13"/>
  <c r="X7" i="13"/>
  <c r="G7" i="13"/>
  <c r="F7" i="13"/>
  <c r="B36" i="13" s="1"/>
  <c r="D36" i="13" s="1"/>
  <c r="E7" i="13"/>
  <c r="C36" i="13" s="1"/>
  <c r="D7" i="13"/>
  <c r="X6" i="13"/>
  <c r="G6" i="13"/>
  <c r="F6" i="13"/>
  <c r="B35" i="13" s="1"/>
  <c r="D35" i="13" s="1"/>
  <c r="E6" i="13"/>
  <c r="C35" i="13" s="1"/>
  <c r="D6" i="13"/>
  <c r="X5" i="13"/>
  <c r="G5" i="13"/>
  <c r="G15" i="13" s="1"/>
  <c r="F5" i="13"/>
  <c r="E5" i="13"/>
  <c r="D5" i="13"/>
  <c r="D15" i="13" s="1"/>
  <c r="I3" i="13"/>
  <c r="C52" i="12"/>
  <c r="B46" i="12"/>
  <c r="C46" i="12" s="1"/>
  <c r="D46" i="12" s="1"/>
  <c r="B45" i="12"/>
  <c r="C45" i="12" s="1"/>
  <c r="D45" i="12" s="1"/>
  <c r="B44" i="12"/>
  <c r="C44" i="12" s="1"/>
  <c r="D44" i="12" s="1"/>
  <c r="B43" i="12"/>
  <c r="C43" i="12" s="1"/>
  <c r="D43" i="12" s="1"/>
  <c r="U32" i="12"/>
  <c r="T32" i="12"/>
  <c r="S32" i="12"/>
  <c r="R32" i="12"/>
  <c r="Q32" i="12"/>
  <c r="P32" i="12"/>
  <c r="O32" i="12"/>
  <c r="N32" i="12"/>
  <c r="M32" i="12"/>
  <c r="L32" i="12"/>
  <c r="K32" i="12"/>
  <c r="J32" i="12"/>
  <c r="I32" i="12"/>
  <c r="H32" i="12"/>
  <c r="G27" i="12"/>
  <c r="F27" i="12"/>
  <c r="G26" i="12"/>
  <c r="F26" i="12"/>
  <c r="G25" i="12"/>
  <c r="F25" i="12"/>
  <c r="G24" i="12"/>
  <c r="F24" i="12"/>
  <c r="G23" i="12"/>
  <c r="F23" i="12"/>
  <c r="G22" i="12"/>
  <c r="F22" i="12"/>
  <c r="G21" i="12"/>
  <c r="G32" i="12" s="1"/>
  <c r="F21" i="12"/>
  <c r="F32" i="12" s="1"/>
  <c r="W16" i="12"/>
  <c r="V16" i="12"/>
  <c r="U16" i="12"/>
  <c r="T16" i="12"/>
  <c r="S16" i="12"/>
  <c r="R16" i="12"/>
  <c r="Q16" i="12"/>
  <c r="P16" i="12"/>
  <c r="O16" i="12"/>
  <c r="N16" i="12"/>
  <c r="M16" i="12"/>
  <c r="L16" i="12"/>
  <c r="K16" i="12"/>
  <c r="J16" i="12"/>
  <c r="I16" i="12"/>
  <c r="H16" i="12"/>
  <c r="G11" i="12"/>
  <c r="B42" i="12" s="1"/>
  <c r="D42" i="12" s="1"/>
  <c r="F11" i="12"/>
  <c r="G10" i="12"/>
  <c r="F10" i="12"/>
  <c r="B41" i="12" s="1"/>
  <c r="D41" i="12" s="1"/>
  <c r="G9" i="12"/>
  <c r="F9" i="12"/>
  <c r="B40" i="12" s="1"/>
  <c r="D40" i="12" s="1"/>
  <c r="G8" i="12"/>
  <c r="F8" i="12"/>
  <c r="B39" i="12" s="1"/>
  <c r="D39" i="12" s="1"/>
  <c r="G7" i="12"/>
  <c r="F7" i="12"/>
  <c r="B38" i="12" s="1"/>
  <c r="D38" i="12" s="1"/>
  <c r="G6" i="12"/>
  <c r="F6" i="12"/>
  <c r="B37" i="12" s="1"/>
  <c r="D37" i="12" s="1"/>
  <c r="G5" i="12"/>
  <c r="G16" i="12" s="1"/>
  <c r="F5" i="12"/>
  <c r="I3" i="12"/>
  <c r="B60" i="11"/>
  <c r="C59" i="11"/>
  <c r="C58" i="11"/>
  <c r="C60" i="11" s="1"/>
  <c r="B53" i="11"/>
  <c r="C52" i="11"/>
  <c r="C51" i="11"/>
  <c r="C53" i="11" s="1"/>
  <c r="C62" i="11" s="1"/>
  <c r="B46" i="11"/>
  <c r="C46" i="11" s="1"/>
  <c r="D46" i="11" s="1"/>
  <c r="B45" i="11"/>
  <c r="C45" i="11" s="1"/>
  <c r="D45" i="11" s="1"/>
  <c r="B44" i="11"/>
  <c r="C44" i="11" s="1"/>
  <c r="D44" i="11" s="1"/>
  <c r="B43" i="11"/>
  <c r="C43" i="11" s="1"/>
  <c r="D43" i="11" s="1"/>
  <c r="B42" i="11"/>
  <c r="C42" i="11" s="1"/>
  <c r="D42" i="11" s="1"/>
  <c r="U32" i="11"/>
  <c r="T32" i="11"/>
  <c r="S32" i="11"/>
  <c r="R32" i="11"/>
  <c r="Q32" i="11"/>
  <c r="P32" i="11"/>
  <c r="O32" i="11"/>
  <c r="N32" i="11"/>
  <c r="M32" i="11"/>
  <c r="L32" i="11"/>
  <c r="K32" i="11"/>
  <c r="J32" i="11"/>
  <c r="I32" i="11"/>
  <c r="H32" i="11"/>
  <c r="Y26" i="11"/>
  <c r="G26" i="11"/>
  <c r="F26" i="11"/>
  <c r="E26" i="11"/>
  <c r="D26" i="11"/>
  <c r="Y25" i="11"/>
  <c r="G25" i="11"/>
  <c r="F25" i="11"/>
  <c r="E25" i="11"/>
  <c r="D25" i="11"/>
  <c r="Y24" i="11"/>
  <c r="G24" i="11"/>
  <c r="F24" i="11"/>
  <c r="E24" i="11"/>
  <c r="D24" i="11"/>
  <c r="Y23" i="11"/>
  <c r="G23" i="11"/>
  <c r="F23" i="11"/>
  <c r="E23" i="11"/>
  <c r="D23" i="11"/>
  <c r="Y22" i="11"/>
  <c r="G22" i="11"/>
  <c r="F22" i="11"/>
  <c r="E22" i="11"/>
  <c r="D22" i="11"/>
  <c r="Y21" i="11"/>
  <c r="G21" i="11"/>
  <c r="G32" i="11" s="1"/>
  <c r="F21" i="11"/>
  <c r="F32" i="11" s="1"/>
  <c r="E21" i="11"/>
  <c r="E32" i="11" s="1"/>
  <c r="D21" i="11"/>
  <c r="D32" i="11" s="1"/>
  <c r="W16" i="11"/>
  <c r="V16" i="11"/>
  <c r="U16" i="11"/>
  <c r="T16" i="11"/>
  <c r="S16" i="11"/>
  <c r="R16" i="11"/>
  <c r="Q16" i="11"/>
  <c r="P16" i="11"/>
  <c r="O16" i="11"/>
  <c r="N16" i="11"/>
  <c r="M16" i="11"/>
  <c r="L16" i="11"/>
  <c r="K16" i="11"/>
  <c r="J16" i="11"/>
  <c r="I16" i="11"/>
  <c r="H16" i="11"/>
  <c r="X10" i="11"/>
  <c r="G10" i="11"/>
  <c r="F10" i="11"/>
  <c r="B41" i="11" s="1"/>
  <c r="D41" i="11" s="1"/>
  <c r="E10" i="11"/>
  <c r="C41" i="11" s="1"/>
  <c r="D10" i="11"/>
  <c r="X9" i="11"/>
  <c r="G9" i="11"/>
  <c r="F9" i="11"/>
  <c r="B40" i="11" s="1"/>
  <c r="D40" i="11" s="1"/>
  <c r="E9" i="11"/>
  <c r="C40" i="11" s="1"/>
  <c r="D9" i="11"/>
  <c r="X8" i="11"/>
  <c r="G8" i="11"/>
  <c r="F8" i="11"/>
  <c r="B39" i="11" s="1"/>
  <c r="D39" i="11" s="1"/>
  <c r="E8" i="11"/>
  <c r="C39" i="11" s="1"/>
  <c r="D8" i="11"/>
  <c r="X7" i="11"/>
  <c r="G7" i="11"/>
  <c r="F7" i="11"/>
  <c r="B38" i="11" s="1"/>
  <c r="D38" i="11" s="1"/>
  <c r="E7" i="11"/>
  <c r="C38" i="11" s="1"/>
  <c r="D7" i="11"/>
  <c r="X6" i="11"/>
  <c r="G6" i="11"/>
  <c r="F6" i="11"/>
  <c r="B37" i="11" s="1"/>
  <c r="D37" i="11" s="1"/>
  <c r="E6" i="11"/>
  <c r="C37" i="11" s="1"/>
  <c r="D6" i="11"/>
  <c r="X5" i="11"/>
  <c r="G5" i="11"/>
  <c r="G16" i="11" s="1"/>
  <c r="F5" i="11"/>
  <c r="E5" i="11"/>
  <c r="D5" i="11"/>
  <c r="D16" i="11" s="1"/>
  <c r="I3" i="11"/>
  <c r="B60" i="10"/>
  <c r="C59" i="10"/>
  <c r="C58" i="10"/>
  <c r="C60" i="10" s="1"/>
  <c r="B53" i="10"/>
  <c r="C52" i="10"/>
  <c r="C51" i="10"/>
  <c r="C53" i="10" s="1"/>
  <c r="C62" i="10" s="1"/>
  <c r="B46" i="10"/>
  <c r="C46" i="10" s="1"/>
  <c r="D46" i="10" s="1"/>
  <c r="B45" i="10"/>
  <c r="C45" i="10" s="1"/>
  <c r="D45" i="10" s="1"/>
  <c r="B44" i="10"/>
  <c r="C44" i="10" s="1"/>
  <c r="D44" i="10" s="1"/>
  <c r="B43" i="10"/>
  <c r="C43" i="10" s="1"/>
  <c r="D43" i="10" s="1"/>
  <c r="B42" i="10"/>
  <c r="C42" i="10" s="1"/>
  <c r="D42" i="10" s="1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Y26" i="10"/>
  <c r="G26" i="10"/>
  <c r="F26" i="10"/>
  <c r="E26" i="10"/>
  <c r="D26" i="10"/>
  <c r="Y25" i="10"/>
  <c r="G25" i="10"/>
  <c r="F25" i="10"/>
  <c r="E25" i="10"/>
  <c r="D25" i="10"/>
  <c r="Y24" i="10"/>
  <c r="G24" i="10"/>
  <c r="F24" i="10"/>
  <c r="E24" i="10"/>
  <c r="D24" i="10"/>
  <c r="Y23" i="10"/>
  <c r="G23" i="10"/>
  <c r="F23" i="10"/>
  <c r="E23" i="10"/>
  <c r="D23" i="10"/>
  <c r="Y22" i="10"/>
  <c r="G22" i="10"/>
  <c r="F22" i="10"/>
  <c r="E22" i="10"/>
  <c r="D22" i="10"/>
  <c r="Y21" i="10"/>
  <c r="G21" i="10"/>
  <c r="G32" i="10" s="1"/>
  <c r="F21" i="10"/>
  <c r="F32" i="10" s="1"/>
  <c r="E21" i="10"/>
  <c r="E32" i="10" s="1"/>
  <c r="D21" i="10"/>
  <c r="D32" i="10" s="1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X10" i="10"/>
  <c r="G10" i="10"/>
  <c r="F10" i="10"/>
  <c r="B41" i="10" s="1"/>
  <c r="D41" i="10" s="1"/>
  <c r="E10" i="10"/>
  <c r="C41" i="10" s="1"/>
  <c r="D10" i="10"/>
  <c r="X9" i="10"/>
  <c r="G9" i="10"/>
  <c r="F9" i="10"/>
  <c r="B40" i="10" s="1"/>
  <c r="D40" i="10" s="1"/>
  <c r="E9" i="10"/>
  <c r="C40" i="10" s="1"/>
  <c r="D9" i="10"/>
  <c r="X8" i="10"/>
  <c r="G8" i="10"/>
  <c r="F8" i="10"/>
  <c r="B39" i="10" s="1"/>
  <c r="D39" i="10" s="1"/>
  <c r="E8" i="10"/>
  <c r="C39" i="10" s="1"/>
  <c r="D8" i="10"/>
  <c r="X7" i="10"/>
  <c r="G7" i="10"/>
  <c r="F7" i="10"/>
  <c r="B38" i="10" s="1"/>
  <c r="D38" i="10" s="1"/>
  <c r="E7" i="10"/>
  <c r="C38" i="10" s="1"/>
  <c r="D7" i="10"/>
  <c r="X6" i="10"/>
  <c r="G6" i="10"/>
  <c r="F6" i="10"/>
  <c r="B37" i="10" s="1"/>
  <c r="D37" i="10" s="1"/>
  <c r="E6" i="10"/>
  <c r="C37" i="10" s="1"/>
  <c r="D6" i="10"/>
  <c r="X5" i="10"/>
  <c r="G5" i="10"/>
  <c r="G16" i="10" s="1"/>
  <c r="F5" i="10"/>
  <c r="E5" i="10"/>
  <c r="D5" i="10"/>
  <c r="D16" i="10" s="1"/>
  <c r="I3" i="10"/>
  <c r="B60" i="9"/>
  <c r="C59" i="9"/>
  <c r="C58" i="9"/>
  <c r="C60" i="9" s="1"/>
  <c r="B53" i="9"/>
  <c r="C52" i="9"/>
  <c r="C51" i="9"/>
  <c r="C53" i="9" s="1"/>
  <c r="C62" i="9" s="1"/>
  <c r="B46" i="9"/>
  <c r="C46" i="9" s="1"/>
  <c r="D46" i="9" s="1"/>
  <c r="B45" i="9"/>
  <c r="C45" i="9" s="1"/>
  <c r="D45" i="9" s="1"/>
  <c r="B44" i="9"/>
  <c r="C44" i="9" s="1"/>
  <c r="D44" i="9" s="1"/>
  <c r="B43" i="9"/>
  <c r="C43" i="9" s="1"/>
  <c r="D43" i="9" s="1"/>
  <c r="B42" i="9"/>
  <c r="C42" i="9" s="1"/>
  <c r="D42" i="9" s="1"/>
  <c r="U32" i="9"/>
  <c r="T32" i="9"/>
  <c r="S32" i="9"/>
  <c r="R32" i="9"/>
  <c r="Q32" i="9"/>
  <c r="P32" i="9"/>
  <c r="O32" i="9"/>
  <c r="N32" i="9"/>
  <c r="M32" i="9"/>
  <c r="L32" i="9"/>
  <c r="K32" i="9"/>
  <c r="J32" i="9"/>
  <c r="I32" i="9"/>
  <c r="H32" i="9"/>
  <c r="Y26" i="9"/>
  <c r="G26" i="9"/>
  <c r="F26" i="9"/>
  <c r="E26" i="9"/>
  <c r="D26" i="9"/>
  <c r="Y25" i="9"/>
  <c r="G25" i="9"/>
  <c r="F25" i="9"/>
  <c r="E25" i="9"/>
  <c r="D25" i="9"/>
  <c r="Y24" i="9"/>
  <c r="G24" i="9"/>
  <c r="F24" i="9"/>
  <c r="E24" i="9"/>
  <c r="D24" i="9"/>
  <c r="Y23" i="9"/>
  <c r="G23" i="9"/>
  <c r="F23" i="9"/>
  <c r="E23" i="9"/>
  <c r="D23" i="9"/>
  <c r="Y22" i="9"/>
  <c r="G22" i="9"/>
  <c r="F22" i="9"/>
  <c r="E22" i="9"/>
  <c r="D22" i="9"/>
  <c r="Y21" i="9"/>
  <c r="G21" i="9"/>
  <c r="G32" i="9" s="1"/>
  <c r="F21" i="9"/>
  <c r="F32" i="9" s="1"/>
  <c r="E21" i="9"/>
  <c r="E32" i="9" s="1"/>
  <c r="D21" i="9"/>
  <c r="D32" i="9" s="1"/>
  <c r="X20" i="9"/>
  <c r="W16" i="9"/>
  <c r="V16" i="9"/>
  <c r="U16" i="9"/>
  <c r="T16" i="9"/>
  <c r="S16" i="9"/>
  <c r="R16" i="9"/>
  <c r="Q16" i="9"/>
  <c r="P16" i="9"/>
  <c r="O16" i="9"/>
  <c r="N16" i="9"/>
  <c r="M16" i="9"/>
  <c r="L16" i="9"/>
  <c r="K16" i="9"/>
  <c r="J16" i="9"/>
  <c r="I16" i="9"/>
  <c r="H16" i="9"/>
  <c r="X10" i="9"/>
  <c r="G10" i="9"/>
  <c r="F10" i="9"/>
  <c r="B41" i="9" s="1"/>
  <c r="D41" i="9" s="1"/>
  <c r="E10" i="9"/>
  <c r="C41" i="9" s="1"/>
  <c r="D10" i="9"/>
  <c r="X9" i="9"/>
  <c r="G9" i="9"/>
  <c r="F9" i="9"/>
  <c r="B40" i="9" s="1"/>
  <c r="D40" i="9" s="1"/>
  <c r="E9" i="9"/>
  <c r="C40" i="9" s="1"/>
  <c r="D9" i="9"/>
  <c r="X8" i="9"/>
  <c r="G8" i="9"/>
  <c r="F8" i="9"/>
  <c r="B39" i="9" s="1"/>
  <c r="D39" i="9" s="1"/>
  <c r="E8" i="9"/>
  <c r="C39" i="9" s="1"/>
  <c r="D8" i="9"/>
  <c r="X7" i="9"/>
  <c r="G7" i="9"/>
  <c r="F7" i="9"/>
  <c r="B38" i="9" s="1"/>
  <c r="D38" i="9" s="1"/>
  <c r="E7" i="9"/>
  <c r="C38" i="9" s="1"/>
  <c r="D7" i="9"/>
  <c r="X6" i="9"/>
  <c r="G6" i="9"/>
  <c r="F6" i="9"/>
  <c r="B37" i="9" s="1"/>
  <c r="D37" i="9" s="1"/>
  <c r="E6" i="9"/>
  <c r="C37" i="9" s="1"/>
  <c r="D6" i="9"/>
  <c r="X5" i="9"/>
  <c r="G5" i="9"/>
  <c r="G16" i="9" s="1"/>
  <c r="F5" i="9"/>
  <c r="E5" i="9"/>
  <c r="D5" i="9"/>
  <c r="D16" i="9" s="1"/>
  <c r="I3" i="9"/>
  <c r="B60" i="8"/>
  <c r="C59" i="8"/>
  <c r="C58" i="8"/>
  <c r="C60" i="8" s="1"/>
  <c r="B53" i="8"/>
  <c r="C52" i="8"/>
  <c r="C51" i="8"/>
  <c r="C53" i="8" s="1"/>
  <c r="C62" i="8" s="1"/>
  <c r="B46" i="8"/>
  <c r="C46" i="8" s="1"/>
  <c r="D46" i="8" s="1"/>
  <c r="B45" i="8"/>
  <c r="C45" i="8" s="1"/>
  <c r="D45" i="8" s="1"/>
  <c r="B44" i="8"/>
  <c r="C44" i="8" s="1"/>
  <c r="D44" i="8" s="1"/>
  <c r="B43" i="8"/>
  <c r="C43" i="8" s="1"/>
  <c r="D43" i="8" s="1"/>
  <c r="B42" i="8"/>
  <c r="C42" i="8" s="1"/>
  <c r="D42" i="8" s="1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H32" i="8"/>
  <c r="Y26" i="8"/>
  <c r="G26" i="8"/>
  <c r="F26" i="8"/>
  <c r="E26" i="8"/>
  <c r="D26" i="8"/>
  <c r="Y25" i="8"/>
  <c r="G25" i="8"/>
  <c r="F25" i="8"/>
  <c r="E25" i="8"/>
  <c r="D25" i="8"/>
  <c r="Y24" i="8"/>
  <c r="G24" i="8"/>
  <c r="F24" i="8"/>
  <c r="E24" i="8"/>
  <c r="D24" i="8"/>
  <c r="Y23" i="8"/>
  <c r="G23" i="8"/>
  <c r="F23" i="8"/>
  <c r="E23" i="8"/>
  <c r="D23" i="8"/>
  <c r="Y22" i="8"/>
  <c r="G22" i="8"/>
  <c r="F22" i="8"/>
  <c r="E22" i="8"/>
  <c r="D22" i="8"/>
  <c r="Y21" i="8"/>
  <c r="G21" i="8"/>
  <c r="G32" i="8" s="1"/>
  <c r="F21" i="8"/>
  <c r="F32" i="8" s="1"/>
  <c r="E21" i="8"/>
  <c r="E32" i="8" s="1"/>
  <c r="D21" i="8"/>
  <c r="D32" i="8" s="1"/>
  <c r="W16" i="8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X10" i="8"/>
  <c r="G10" i="8"/>
  <c r="F10" i="8"/>
  <c r="B41" i="8" s="1"/>
  <c r="D41" i="8" s="1"/>
  <c r="E10" i="8"/>
  <c r="C41" i="8" s="1"/>
  <c r="D10" i="8"/>
  <c r="X9" i="8"/>
  <c r="G9" i="8"/>
  <c r="F9" i="8"/>
  <c r="B40" i="8" s="1"/>
  <c r="D40" i="8" s="1"/>
  <c r="E9" i="8"/>
  <c r="C40" i="8" s="1"/>
  <c r="D9" i="8"/>
  <c r="X8" i="8"/>
  <c r="G8" i="8"/>
  <c r="F8" i="8"/>
  <c r="B39" i="8" s="1"/>
  <c r="D39" i="8" s="1"/>
  <c r="E8" i="8"/>
  <c r="C39" i="8" s="1"/>
  <c r="D8" i="8"/>
  <c r="X7" i="8"/>
  <c r="G7" i="8"/>
  <c r="F7" i="8"/>
  <c r="B38" i="8" s="1"/>
  <c r="D38" i="8" s="1"/>
  <c r="E7" i="8"/>
  <c r="C38" i="8" s="1"/>
  <c r="D7" i="8"/>
  <c r="X6" i="8"/>
  <c r="G6" i="8"/>
  <c r="F6" i="8"/>
  <c r="B37" i="8" s="1"/>
  <c r="D37" i="8" s="1"/>
  <c r="E6" i="8"/>
  <c r="C37" i="8" s="1"/>
  <c r="D6" i="8"/>
  <c r="X5" i="8"/>
  <c r="G5" i="8"/>
  <c r="G16" i="8" s="1"/>
  <c r="F5" i="8"/>
  <c r="E5" i="8"/>
  <c r="D5" i="8"/>
  <c r="D16" i="8" s="1"/>
  <c r="I3" i="8"/>
  <c r="B60" i="7"/>
  <c r="C59" i="7"/>
  <c r="C58" i="7"/>
  <c r="C60" i="7" s="1"/>
  <c r="B53" i="7"/>
  <c r="C52" i="7"/>
  <c r="C51" i="7"/>
  <c r="C53" i="7" s="1"/>
  <c r="C62" i="7" s="1"/>
  <c r="B46" i="7"/>
  <c r="C46" i="7" s="1"/>
  <c r="D46" i="7" s="1"/>
  <c r="B45" i="7"/>
  <c r="C45" i="7" s="1"/>
  <c r="D45" i="7" s="1"/>
  <c r="B44" i="7"/>
  <c r="C44" i="7" s="1"/>
  <c r="D44" i="7" s="1"/>
  <c r="B43" i="7"/>
  <c r="C43" i="7" s="1"/>
  <c r="D43" i="7" s="1"/>
  <c r="B42" i="7"/>
  <c r="C42" i="7" s="1"/>
  <c r="D42" i="7" s="1"/>
  <c r="U32" i="7"/>
  <c r="T32" i="7"/>
  <c r="S32" i="7"/>
  <c r="R32" i="7"/>
  <c r="Q32" i="7"/>
  <c r="P32" i="7"/>
  <c r="O32" i="7"/>
  <c r="N32" i="7"/>
  <c r="M32" i="7"/>
  <c r="L32" i="7"/>
  <c r="K32" i="7"/>
  <c r="J32" i="7"/>
  <c r="I32" i="7"/>
  <c r="H32" i="7"/>
  <c r="Y26" i="7"/>
  <c r="G26" i="7"/>
  <c r="F26" i="7"/>
  <c r="E26" i="7"/>
  <c r="D26" i="7"/>
  <c r="Y25" i="7"/>
  <c r="G25" i="7"/>
  <c r="F25" i="7"/>
  <c r="E25" i="7"/>
  <c r="D25" i="7"/>
  <c r="Y24" i="7"/>
  <c r="G24" i="7"/>
  <c r="F24" i="7"/>
  <c r="E24" i="7"/>
  <c r="D24" i="7"/>
  <c r="Y23" i="7"/>
  <c r="G23" i="7"/>
  <c r="F23" i="7"/>
  <c r="E23" i="7"/>
  <c r="D23" i="7"/>
  <c r="Y22" i="7"/>
  <c r="G22" i="7"/>
  <c r="F22" i="7"/>
  <c r="E22" i="7"/>
  <c r="D22" i="7"/>
  <c r="Y21" i="7"/>
  <c r="G21" i="7"/>
  <c r="G32" i="7" s="1"/>
  <c r="F21" i="7"/>
  <c r="F32" i="7" s="1"/>
  <c r="E21" i="7"/>
  <c r="E32" i="7" s="1"/>
  <c r="D21" i="7"/>
  <c r="D32" i="7" s="1"/>
  <c r="W16" i="7"/>
  <c r="V16" i="7"/>
  <c r="U16" i="7"/>
  <c r="T16" i="7"/>
  <c r="S16" i="7"/>
  <c r="R16" i="7"/>
  <c r="Q16" i="7"/>
  <c r="P16" i="7"/>
  <c r="O16" i="7"/>
  <c r="N16" i="7"/>
  <c r="M16" i="7"/>
  <c r="L16" i="7"/>
  <c r="K16" i="7"/>
  <c r="J16" i="7"/>
  <c r="I16" i="7"/>
  <c r="H16" i="7"/>
  <c r="X10" i="7"/>
  <c r="G10" i="7"/>
  <c r="F10" i="7"/>
  <c r="B41" i="7" s="1"/>
  <c r="D41" i="7" s="1"/>
  <c r="E10" i="7"/>
  <c r="C41" i="7" s="1"/>
  <c r="D10" i="7"/>
  <c r="X9" i="7"/>
  <c r="G9" i="7"/>
  <c r="F9" i="7"/>
  <c r="B40" i="7" s="1"/>
  <c r="D40" i="7" s="1"/>
  <c r="E9" i="7"/>
  <c r="C40" i="7" s="1"/>
  <c r="D9" i="7"/>
  <c r="X8" i="7"/>
  <c r="G8" i="7"/>
  <c r="F8" i="7"/>
  <c r="B39" i="7" s="1"/>
  <c r="D39" i="7" s="1"/>
  <c r="E8" i="7"/>
  <c r="C39" i="7" s="1"/>
  <c r="D8" i="7"/>
  <c r="X7" i="7"/>
  <c r="G7" i="7"/>
  <c r="F7" i="7"/>
  <c r="B38" i="7" s="1"/>
  <c r="D38" i="7" s="1"/>
  <c r="E7" i="7"/>
  <c r="C38" i="7" s="1"/>
  <c r="D7" i="7"/>
  <c r="X6" i="7"/>
  <c r="G6" i="7"/>
  <c r="F6" i="7"/>
  <c r="B37" i="7" s="1"/>
  <c r="D37" i="7" s="1"/>
  <c r="E6" i="7"/>
  <c r="C37" i="7" s="1"/>
  <c r="D6" i="7"/>
  <c r="X5" i="7"/>
  <c r="G5" i="7"/>
  <c r="G16" i="7" s="1"/>
  <c r="F5" i="7"/>
  <c r="E5" i="7"/>
  <c r="D5" i="7"/>
  <c r="D16" i="7" s="1"/>
  <c r="I3" i="7"/>
  <c r="B60" i="6"/>
  <c r="C59" i="6"/>
  <c r="C58" i="6"/>
  <c r="C60" i="6" s="1"/>
  <c r="B53" i="6"/>
  <c r="C52" i="6"/>
  <c r="C51" i="6"/>
  <c r="C53" i="6" s="1"/>
  <c r="C62" i="6" s="1"/>
  <c r="B46" i="6"/>
  <c r="C46" i="6" s="1"/>
  <c r="D46" i="6" s="1"/>
  <c r="B45" i="6"/>
  <c r="C45" i="6" s="1"/>
  <c r="D45" i="6" s="1"/>
  <c r="B44" i="6"/>
  <c r="C44" i="6" s="1"/>
  <c r="D44" i="6" s="1"/>
  <c r="B43" i="6"/>
  <c r="C43" i="6" s="1"/>
  <c r="D43" i="6" s="1"/>
  <c r="B42" i="6"/>
  <c r="C42" i="6" s="1"/>
  <c r="D42" i="6" s="1"/>
  <c r="U32" i="6"/>
  <c r="T32" i="6"/>
  <c r="S32" i="6"/>
  <c r="R32" i="6"/>
  <c r="Q32" i="6"/>
  <c r="P32" i="6"/>
  <c r="O32" i="6"/>
  <c r="N32" i="6"/>
  <c r="M32" i="6"/>
  <c r="L32" i="6"/>
  <c r="K32" i="6"/>
  <c r="J32" i="6"/>
  <c r="I32" i="6"/>
  <c r="H32" i="6"/>
  <c r="Y26" i="6"/>
  <c r="G26" i="6"/>
  <c r="F26" i="6"/>
  <c r="E26" i="6"/>
  <c r="D26" i="6"/>
  <c r="Y25" i="6"/>
  <c r="G25" i="6"/>
  <c r="F25" i="6"/>
  <c r="E25" i="6"/>
  <c r="D25" i="6"/>
  <c r="Y24" i="6"/>
  <c r="G24" i="6"/>
  <c r="F24" i="6"/>
  <c r="E24" i="6"/>
  <c r="D24" i="6"/>
  <c r="Y23" i="6"/>
  <c r="G23" i="6"/>
  <c r="F23" i="6"/>
  <c r="E23" i="6"/>
  <c r="D23" i="6"/>
  <c r="Y22" i="6"/>
  <c r="G22" i="6"/>
  <c r="F22" i="6"/>
  <c r="E22" i="6"/>
  <c r="D22" i="6"/>
  <c r="Y21" i="6"/>
  <c r="G21" i="6"/>
  <c r="G32" i="6" s="1"/>
  <c r="F21" i="6"/>
  <c r="F32" i="6" s="1"/>
  <c r="E21" i="6"/>
  <c r="E32" i="6" s="1"/>
  <c r="D21" i="6"/>
  <c r="D32" i="6" s="1"/>
  <c r="W16" i="6"/>
  <c r="V16" i="6"/>
  <c r="U16" i="6"/>
  <c r="T16" i="6"/>
  <c r="S16" i="6"/>
  <c r="R16" i="6"/>
  <c r="Q16" i="6"/>
  <c r="P16" i="6"/>
  <c r="O16" i="6"/>
  <c r="N16" i="6"/>
  <c r="M16" i="6"/>
  <c r="L16" i="6"/>
  <c r="K16" i="6"/>
  <c r="J16" i="6"/>
  <c r="I16" i="6"/>
  <c r="H16" i="6"/>
  <c r="X10" i="6"/>
  <c r="G10" i="6"/>
  <c r="F10" i="6"/>
  <c r="B41" i="6" s="1"/>
  <c r="D41" i="6" s="1"/>
  <c r="E10" i="6"/>
  <c r="C41" i="6" s="1"/>
  <c r="D10" i="6"/>
  <c r="X9" i="6"/>
  <c r="G9" i="6"/>
  <c r="F9" i="6"/>
  <c r="B40" i="6" s="1"/>
  <c r="D40" i="6" s="1"/>
  <c r="E9" i="6"/>
  <c r="C40" i="6" s="1"/>
  <c r="D9" i="6"/>
  <c r="X8" i="6"/>
  <c r="G8" i="6"/>
  <c r="F8" i="6"/>
  <c r="B39" i="6" s="1"/>
  <c r="D39" i="6" s="1"/>
  <c r="E8" i="6"/>
  <c r="C39" i="6" s="1"/>
  <c r="D8" i="6"/>
  <c r="X7" i="6"/>
  <c r="G7" i="6"/>
  <c r="F7" i="6"/>
  <c r="B38" i="6" s="1"/>
  <c r="D38" i="6" s="1"/>
  <c r="E7" i="6"/>
  <c r="C38" i="6" s="1"/>
  <c r="D7" i="6"/>
  <c r="X6" i="6"/>
  <c r="G6" i="6"/>
  <c r="F6" i="6"/>
  <c r="B37" i="6" s="1"/>
  <c r="D37" i="6" s="1"/>
  <c r="E6" i="6"/>
  <c r="C37" i="6" s="1"/>
  <c r="D6" i="6"/>
  <c r="X5" i="6"/>
  <c r="G5" i="6"/>
  <c r="G16" i="6" s="1"/>
  <c r="F5" i="6"/>
  <c r="E5" i="6"/>
  <c r="D5" i="6"/>
  <c r="D16" i="6" s="1"/>
  <c r="I3" i="6"/>
  <c r="B60" i="5"/>
  <c r="C59" i="5"/>
  <c r="C58" i="5"/>
  <c r="C60" i="5" s="1"/>
  <c r="B53" i="5"/>
  <c r="C52" i="5"/>
  <c r="C51" i="5"/>
  <c r="C53" i="5" s="1"/>
  <c r="C62" i="5" s="1"/>
  <c r="B46" i="5"/>
  <c r="C46" i="5" s="1"/>
  <c r="D46" i="5" s="1"/>
  <c r="B45" i="5"/>
  <c r="C45" i="5" s="1"/>
  <c r="D45" i="5" s="1"/>
  <c r="B44" i="5"/>
  <c r="C44" i="5" s="1"/>
  <c r="D44" i="5" s="1"/>
  <c r="B43" i="5"/>
  <c r="C43" i="5" s="1"/>
  <c r="D43" i="5" s="1"/>
  <c r="B42" i="5"/>
  <c r="C42" i="5" s="1"/>
  <c r="D42" i="5" s="1"/>
  <c r="U32" i="5"/>
  <c r="T32" i="5"/>
  <c r="S32" i="5"/>
  <c r="R32" i="5"/>
  <c r="Q32" i="5"/>
  <c r="P32" i="5"/>
  <c r="O32" i="5"/>
  <c r="N32" i="5"/>
  <c r="M32" i="5"/>
  <c r="L32" i="5"/>
  <c r="K32" i="5"/>
  <c r="J32" i="5"/>
  <c r="I32" i="5"/>
  <c r="H32" i="5"/>
  <c r="Y26" i="5"/>
  <c r="G26" i="5"/>
  <c r="F26" i="5"/>
  <c r="E26" i="5"/>
  <c r="D26" i="5"/>
  <c r="Y25" i="5"/>
  <c r="G25" i="5"/>
  <c r="F25" i="5"/>
  <c r="E25" i="5"/>
  <c r="D25" i="5"/>
  <c r="Y24" i="5"/>
  <c r="G24" i="5"/>
  <c r="F24" i="5"/>
  <c r="E24" i="5"/>
  <c r="D24" i="5"/>
  <c r="Y23" i="5"/>
  <c r="G23" i="5"/>
  <c r="F23" i="5"/>
  <c r="E23" i="5"/>
  <c r="D23" i="5"/>
  <c r="Y22" i="5"/>
  <c r="G22" i="5"/>
  <c r="F22" i="5"/>
  <c r="E22" i="5"/>
  <c r="D22" i="5"/>
  <c r="Y21" i="5"/>
  <c r="G21" i="5"/>
  <c r="G32" i="5" s="1"/>
  <c r="F21" i="5"/>
  <c r="F32" i="5" s="1"/>
  <c r="E21" i="5"/>
  <c r="E32" i="5" s="1"/>
  <c r="D21" i="5"/>
  <c r="D32" i="5" s="1"/>
  <c r="W16" i="5"/>
  <c r="V16" i="5"/>
  <c r="U16" i="5"/>
  <c r="T16" i="5"/>
  <c r="S16" i="5"/>
  <c r="R16" i="5"/>
  <c r="Q16" i="5"/>
  <c r="P16" i="5"/>
  <c r="O16" i="5"/>
  <c r="N16" i="5"/>
  <c r="M16" i="5"/>
  <c r="L16" i="5"/>
  <c r="K16" i="5"/>
  <c r="J16" i="5"/>
  <c r="I16" i="5"/>
  <c r="H16" i="5"/>
  <c r="X10" i="5"/>
  <c r="G10" i="5"/>
  <c r="F10" i="5"/>
  <c r="B41" i="5" s="1"/>
  <c r="D41" i="5" s="1"/>
  <c r="E10" i="5"/>
  <c r="C41" i="5" s="1"/>
  <c r="D10" i="5"/>
  <c r="X9" i="5"/>
  <c r="G9" i="5"/>
  <c r="F9" i="5"/>
  <c r="B40" i="5" s="1"/>
  <c r="D40" i="5" s="1"/>
  <c r="E9" i="5"/>
  <c r="C40" i="5" s="1"/>
  <c r="D9" i="5"/>
  <c r="X8" i="5"/>
  <c r="G8" i="5"/>
  <c r="F8" i="5"/>
  <c r="B39" i="5" s="1"/>
  <c r="D39" i="5" s="1"/>
  <c r="E8" i="5"/>
  <c r="C39" i="5" s="1"/>
  <c r="D8" i="5"/>
  <c r="X7" i="5"/>
  <c r="G7" i="5"/>
  <c r="F7" i="5"/>
  <c r="B38" i="5" s="1"/>
  <c r="D38" i="5" s="1"/>
  <c r="E7" i="5"/>
  <c r="C38" i="5" s="1"/>
  <c r="D7" i="5"/>
  <c r="X6" i="5"/>
  <c r="G6" i="5"/>
  <c r="F6" i="5"/>
  <c r="B37" i="5" s="1"/>
  <c r="D37" i="5" s="1"/>
  <c r="E6" i="5"/>
  <c r="C37" i="5" s="1"/>
  <c r="D6" i="5"/>
  <c r="X5" i="5"/>
  <c r="G5" i="5"/>
  <c r="G16" i="5" s="1"/>
  <c r="F5" i="5"/>
  <c r="E5" i="5"/>
  <c r="D5" i="5"/>
  <c r="D16" i="5" s="1"/>
  <c r="I3" i="5"/>
  <c r="B60" i="4"/>
  <c r="C59" i="4"/>
  <c r="C58" i="4"/>
  <c r="C60" i="4" s="1"/>
  <c r="B53" i="4"/>
  <c r="C52" i="4"/>
  <c r="C51" i="4"/>
  <c r="C53" i="4" s="1"/>
  <c r="C62" i="4" s="1"/>
  <c r="B46" i="4"/>
  <c r="C46" i="4" s="1"/>
  <c r="D46" i="4" s="1"/>
  <c r="B45" i="4"/>
  <c r="C45" i="4" s="1"/>
  <c r="D45" i="4" s="1"/>
  <c r="B44" i="4"/>
  <c r="C44" i="4" s="1"/>
  <c r="D44" i="4" s="1"/>
  <c r="B43" i="4"/>
  <c r="C43" i="4" s="1"/>
  <c r="D43" i="4" s="1"/>
  <c r="B42" i="4"/>
  <c r="C42" i="4" s="1"/>
  <c r="D42" i="4" s="1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Y26" i="4"/>
  <c r="G26" i="4"/>
  <c r="F26" i="4"/>
  <c r="E26" i="4"/>
  <c r="D26" i="4"/>
  <c r="Y25" i="4"/>
  <c r="G25" i="4"/>
  <c r="F25" i="4"/>
  <c r="E25" i="4"/>
  <c r="D25" i="4"/>
  <c r="Y24" i="4"/>
  <c r="G24" i="4"/>
  <c r="F24" i="4"/>
  <c r="E24" i="4"/>
  <c r="D24" i="4"/>
  <c r="Y23" i="4"/>
  <c r="G23" i="4"/>
  <c r="F23" i="4"/>
  <c r="E23" i="4"/>
  <c r="D23" i="4"/>
  <c r="Y22" i="4"/>
  <c r="G22" i="4"/>
  <c r="F22" i="4"/>
  <c r="E22" i="4"/>
  <c r="D22" i="4"/>
  <c r="Y21" i="4"/>
  <c r="G21" i="4"/>
  <c r="G32" i="4" s="1"/>
  <c r="F21" i="4"/>
  <c r="F32" i="4" s="1"/>
  <c r="E21" i="4"/>
  <c r="E32" i="4" s="1"/>
  <c r="D21" i="4"/>
  <c r="D32" i="4" s="1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X10" i="4"/>
  <c r="G10" i="4"/>
  <c r="F10" i="4"/>
  <c r="B41" i="4" s="1"/>
  <c r="D41" i="4" s="1"/>
  <c r="E10" i="4"/>
  <c r="C41" i="4" s="1"/>
  <c r="D10" i="4"/>
  <c r="X9" i="4"/>
  <c r="G9" i="4"/>
  <c r="F9" i="4"/>
  <c r="B40" i="4" s="1"/>
  <c r="D40" i="4" s="1"/>
  <c r="E9" i="4"/>
  <c r="C40" i="4" s="1"/>
  <c r="D9" i="4"/>
  <c r="X8" i="4"/>
  <c r="G8" i="4"/>
  <c r="F8" i="4"/>
  <c r="B39" i="4" s="1"/>
  <c r="D39" i="4" s="1"/>
  <c r="E8" i="4"/>
  <c r="C39" i="4" s="1"/>
  <c r="D8" i="4"/>
  <c r="X7" i="4"/>
  <c r="G7" i="4"/>
  <c r="F7" i="4"/>
  <c r="B38" i="4" s="1"/>
  <c r="D38" i="4" s="1"/>
  <c r="E7" i="4"/>
  <c r="C38" i="4" s="1"/>
  <c r="D7" i="4"/>
  <c r="X6" i="4"/>
  <c r="G6" i="4"/>
  <c r="F6" i="4"/>
  <c r="B37" i="4" s="1"/>
  <c r="D37" i="4" s="1"/>
  <c r="E6" i="4"/>
  <c r="C37" i="4" s="1"/>
  <c r="D6" i="4"/>
  <c r="X5" i="4"/>
  <c r="G5" i="4"/>
  <c r="G16" i="4" s="1"/>
  <c r="F5" i="4"/>
  <c r="E5" i="4"/>
  <c r="D5" i="4"/>
  <c r="D16" i="4" s="1"/>
  <c r="I3" i="4"/>
  <c r="B60" i="3"/>
  <c r="C59" i="3"/>
  <c r="C58" i="3"/>
  <c r="C60" i="3" s="1"/>
  <c r="B53" i="3"/>
  <c r="C52" i="3"/>
  <c r="C51" i="3"/>
  <c r="C53" i="3" s="1"/>
  <c r="C62" i="3" s="1"/>
  <c r="B46" i="3"/>
  <c r="C46" i="3" s="1"/>
  <c r="D46" i="3" s="1"/>
  <c r="B45" i="3"/>
  <c r="C45" i="3" s="1"/>
  <c r="D45" i="3" s="1"/>
  <c r="B44" i="3"/>
  <c r="C44" i="3" s="1"/>
  <c r="D44" i="3" s="1"/>
  <c r="B43" i="3"/>
  <c r="C43" i="3" s="1"/>
  <c r="D43" i="3" s="1"/>
  <c r="U32" i="3"/>
  <c r="T32" i="3"/>
  <c r="S32" i="3"/>
  <c r="R32" i="3"/>
  <c r="Q32" i="3"/>
  <c r="P32" i="3"/>
  <c r="O32" i="3"/>
  <c r="N32" i="3"/>
  <c r="M32" i="3"/>
  <c r="L32" i="3"/>
  <c r="K32" i="3"/>
  <c r="J32" i="3"/>
  <c r="I32" i="3"/>
  <c r="H32" i="3"/>
  <c r="X27" i="3"/>
  <c r="G27" i="3"/>
  <c r="F27" i="3"/>
  <c r="E27" i="3"/>
  <c r="D27" i="3"/>
  <c r="Y26" i="3"/>
  <c r="G26" i="3"/>
  <c r="F26" i="3"/>
  <c r="E26" i="3"/>
  <c r="D26" i="3"/>
  <c r="Y25" i="3"/>
  <c r="G25" i="3"/>
  <c r="F25" i="3"/>
  <c r="E25" i="3"/>
  <c r="D25" i="3"/>
  <c r="Y24" i="3"/>
  <c r="G24" i="3"/>
  <c r="F24" i="3"/>
  <c r="E24" i="3"/>
  <c r="D24" i="3"/>
  <c r="Y23" i="3"/>
  <c r="G23" i="3"/>
  <c r="F23" i="3"/>
  <c r="E23" i="3"/>
  <c r="D23" i="3"/>
  <c r="Y22" i="3"/>
  <c r="G22" i="3"/>
  <c r="F22" i="3"/>
  <c r="E22" i="3"/>
  <c r="D22" i="3"/>
  <c r="Y21" i="3"/>
  <c r="G21" i="3"/>
  <c r="G32" i="3" s="1"/>
  <c r="F21" i="3"/>
  <c r="F32" i="3" s="1"/>
  <c r="E21" i="3"/>
  <c r="E32" i="3" s="1"/>
  <c r="D21" i="3"/>
  <c r="D32" i="3" s="1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X11" i="3"/>
  <c r="G11" i="3"/>
  <c r="B42" i="3" s="1"/>
  <c r="D42" i="3" s="1"/>
  <c r="F11" i="3"/>
  <c r="E11" i="3"/>
  <c r="C42" i="3" s="1"/>
  <c r="D11" i="3"/>
  <c r="X10" i="3"/>
  <c r="G10" i="3"/>
  <c r="F10" i="3"/>
  <c r="B41" i="3" s="1"/>
  <c r="D41" i="3" s="1"/>
  <c r="E10" i="3"/>
  <c r="C41" i="3" s="1"/>
  <c r="D10" i="3"/>
  <c r="X9" i="3"/>
  <c r="G9" i="3"/>
  <c r="F9" i="3"/>
  <c r="B40" i="3" s="1"/>
  <c r="D40" i="3" s="1"/>
  <c r="E9" i="3"/>
  <c r="C40" i="3" s="1"/>
  <c r="D9" i="3"/>
  <c r="X8" i="3"/>
  <c r="G8" i="3"/>
  <c r="F8" i="3"/>
  <c r="B39" i="3" s="1"/>
  <c r="D39" i="3" s="1"/>
  <c r="E8" i="3"/>
  <c r="C39" i="3" s="1"/>
  <c r="D8" i="3"/>
  <c r="X7" i="3"/>
  <c r="G7" i="3"/>
  <c r="F7" i="3"/>
  <c r="B38" i="3" s="1"/>
  <c r="D38" i="3" s="1"/>
  <c r="E7" i="3"/>
  <c r="C38" i="3" s="1"/>
  <c r="D7" i="3"/>
  <c r="X6" i="3"/>
  <c r="G6" i="3"/>
  <c r="F6" i="3"/>
  <c r="B37" i="3" s="1"/>
  <c r="D37" i="3" s="1"/>
  <c r="E6" i="3"/>
  <c r="C37" i="3" s="1"/>
  <c r="D6" i="3"/>
  <c r="X5" i="3"/>
  <c r="G5" i="3"/>
  <c r="G16" i="3" s="1"/>
  <c r="F5" i="3"/>
  <c r="E5" i="3"/>
  <c r="D5" i="3"/>
  <c r="D16" i="3" s="1"/>
  <c r="I3" i="3"/>
  <c r="B60" i="2"/>
  <c r="C59" i="2"/>
  <c r="C58" i="2"/>
  <c r="C60" i="2" s="1"/>
  <c r="B53" i="2"/>
  <c r="C52" i="2"/>
  <c r="C51" i="2"/>
  <c r="C53" i="2" s="1"/>
  <c r="C62" i="2" s="1"/>
  <c r="B46" i="2"/>
  <c r="C46" i="2" s="1"/>
  <c r="D46" i="2" s="1"/>
  <c r="B45" i="2"/>
  <c r="C45" i="2" s="1"/>
  <c r="D45" i="2" s="1"/>
  <c r="B44" i="2"/>
  <c r="C44" i="2" s="1"/>
  <c r="D44" i="2" s="1"/>
  <c r="B43" i="2"/>
  <c r="C43" i="2" s="1"/>
  <c r="D43" i="2" s="1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Y27" i="2"/>
  <c r="G27" i="2"/>
  <c r="F27" i="2"/>
  <c r="E27" i="2"/>
  <c r="D27" i="2"/>
  <c r="Y26" i="2"/>
  <c r="G26" i="2"/>
  <c r="F26" i="2"/>
  <c r="E26" i="2"/>
  <c r="D26" i="2"/>
  <c r="Y25" i="2"/>
  <c r="G25" i="2"/>
  <c r="F25" i="2"/>
  <c r="E25" i="2"/>
  <c r="D25" i="2"/>
  <c r="Y24" i="2"/>
  <c r="G24" i="2"/>
  <c r="F24" i="2"/>
  <c r="E24" i="2"/>
  <c r="D24" i="2"/>
  <c r="Y23" i="2"/>
  <c r="G23" i="2"/>
  <c r="F23" i="2"/>
  <c r="E23" i="2"/>
  <c r="D23" i="2"/>
  <c r="Y22" i="2"/>
  <c r="G22" i="2"/>
  <c r="F22" i="2"/>
  <c r="E22" i="2"/>
  <c r="D22" i="2"/>
  <c r="Y21" i="2"/>
  <c r="G21" i="2"/>
  <c r="G32" i="2" s="1"/>
  <c r="F21" i="2"/>
  <c r="F32" i="2" s="1"/>
  <c r="E21" i="2"/>
  <c r="E32" i="2" s="1"/>
  <c r="D21" i="2"/>
  <c r="D32" i="2" s="1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X11" i="2"/>
  <c r="G11" i="2"/>
  <c r="B42" i="2" s="1"/>
  <c r="D42" i="2" s="1"/>
  <c r="F11" i="2"/>
  <c r="E11" i="2"/>
  <c r="C42" i="2" s="1"/>
  <c r="D11" i="2"/>
  <c r="X10" i="2"/>
  <c r="G10" i="2"/>
  <c r="F10" i="2"/>
  <c r="B41" i="2" s="1"/>
  <c r="D41" i="2" s="1"/>
  <c r="E10" i="2"/>
  <c r="C41" i="2" s="1"/>
  <c r="D10" i="2"/>
  <c r="X9" i="2"/>
  <c r="G9" i="2"/>
  <c r="F9" i="2"/>
  <c r="B40" i="2" s="1"/>
  <c r="D40" i="2" s="1"/>
  <c r="E9" i="2"/>
  <c r="C40" i="2" s="1"/>
  <c r="D9" i="2"/>
  <c r="X8" i="2"/>
  <c r="G8" i="2"/>
  <c r="F8" i="2"/>
  <c r="B39" i="2" s="1"/>
  <c r="D39" i="2" s="1"/>
  <c r="E8" i="2"/>
  <c r="C39" i="2" s="1"/>
  <c r="D8" i="2"/>
  <c r="X7" i="2"/>
  <c r="G7" i="2"/>
  <c r="F7" i="2"/>
  <c r="B38" i="2" s="1"/>
  <c r="D38" i="2" s="1"/>
  <c r="E7" i="2"/>
  <c r="C38" i="2" s="1"/>
  <c r="D7" i="2"/>
  <c r="X6" i="2"/>
  <c r="G6" i="2"/>
  <c r="F6" i="2"/>
  <c r="B37" i="2" s="1"/>
  <c r="D37" i="2" s="1"/>
  <c r="E6" i="2"/>
  <c r="C37" i="2" s="1"/>
  <c r="D6" i="2"/>
  <c r="X5" i="2"/>
  <c r="G5" i="2"/>
  <c r="G16" i="2" s="1"/>
  <c r="F5" i="2"/>
  <c r="E5" i="2"/>
  <c r="D5" i="2"/>
  <c r="D16" i="2" s="1"/>
  <c r="I3" i="2"/>
  <c r="B60" i="1"/>
  <c r="C59" i="1"/>
  <c r="C58" i="1"/>
  <c r="C60" i="1" s="1"/>
  <c r="B53" i="1"/>
  <c r="C52" i="1"/>
  <c r="C51" i="1"/>
  <c r="C53" i="1" s="1"/>
  <c r="C62" i="1" s="1"/>
  <c r="B46" i="1"/>
  <c r="C46" i="1" s="1"/>
  <c r="D46" i="1" s="1"/>
  <c r="B45" i="1"/>
  <c r="C45" i="1" s="1"/>
  <c r="D45" i="1" s="1"/>
  <c r="B44" i="1"/>
  <c r="C44" i="1" s="1"/>
  <c r="D44" i="1" s="1"/>
  <c r="B43" i="1"/>
  <c r="C43" i="1" s="1"/>
  <c r="D43" i="1" s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Y27" i="1"/>
  <c r="G27" i="1"/>
  <c r="F27" i="1"/>
  <c r="E27" i="1"/>
  <c r="D27" i="1"/>
  <c r="Y26" i="1"/>
  <c r="G26" i="1"/>
  <c r="F26" i="1"/>
  <c r="E26" i="1"/>
  <c r="D26" i="1"/>
  <c r="Y25" i="1"/>
  <c r="G25" i="1"/>
  <c r="F25" i="1"/>
  <c r="E25" i="1"/>
  <c r="D25" i="1"/>
  <c r="Y24" i="1"/>
  <c r="G24" i="1"/>
  <c r="F24" i="1"/>
  <c r="E24" i="1"/>
  <c r="D24" i="1"/>
  <c r="Y23" i="1"/>
  <c r="G23" i="1"/>
  <c r="F23" i="1"/>
  <c r="E23" i="1"/>
  <c r="D23" i="1"/>
  <c r="Y22" i="1"/>
  <c r="G22" i="1"/>
  <c r="F22" i="1"/>
  <c r="E22" i="1"/>
  <c r="D22" i="1"/>
  <c r="Y21" i="1"/>
  <c r="G21" i="1"/>
  <c r="G32" i="1" s="1"/>
  <c r="F21" i="1"/>
  <c r="F32" i="1" s="1"/>
  <c r="E21" i="1"/>
  <c r="E32" i="1" s="1"/>
  <c r="D21" i="1"/>
  <c r="D32" i="1" s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X11" i="1"/>
  <c r="G11" i="1"/>
  <c r="B42" i="1" s="1"/>
  <c r="D42" i="1" s="1"/>
  <c r="F11" i="1"/>
  <c r="E11" i="1"/>
  <c r="C42" i="1" s="1"/>
  <c r="D11" i="1"/>
  <c r="X10" i="1"/>
  <c r="G10" i="1"/>
  <c r="F10" i="1"/>
  <c r="B41" i="1" s="1"/>
  <c r="D41" i="1" s="1"/>
  <c r="E10" i="1"/>
  <c r="C41" i="1" s="1"/>
  <c r="D10" i="1"/>
  <c r="X9" i="1"/>
  <c r="G9" i="1"/>
  <c r="F9" i="1"/>
  <c r="B40" i="1" s="1"/>
  <c r="D40" i="1" s="1"/>
  <c r="E9" i="1"/>
  <c r="C40" i="1" s="1"/>
  <c r="D9" i="1"/>
  <c r="X8" i="1"/>
  <c r="G8" i="1"/>
  <c r="F8" i="1"/>
  <c r="B39" i="1" s="1"/>
  <c r="D39" i="1" s="1"/>
  <c r="E8" i="1"/>
  <c r="C39" i="1" s="1"/>
  <c r="D8" i="1"/>
  <c r="X7" i="1"/>
  <c r="G7" i="1"/>
  <c r="F7" i="1"/>
  <c r="B38" i="1" s="1"/>
  <c r="D38" i="1" s="1"/>
  <c r="E7" i="1"/>
  <c r="C38" i="1" s="1"/>
  <c r="D7" i="1"/>
  <c r="G6" i="1"/>
  <c r="F6" i="1"/>
  <c r="B37" i="1" s="1"/>
  <c r="D37" i="1" s="1"/>
  <c r="E6" i="1"/>
  <c r="C37" i="1" s="1"/>
  <c r="D6" i="1"/>
  <c r="X5" i="1"/>
  <c r="G5" i="1"/>
  <c r="G16" i="1" s="1"/>
  <c r="F5" i="1"/>
  <c r="E5" i="1"/>
  <c r="D5" i="1"/>
  <c r="D16" i="1" s="1"/>
  <c r="I3" i="1"/>
  <c r="G30" i="24" l="1"/>
  <c r="F20" i="24"/>
  <c r="F30" i="24" s="1"/>
  <c r="F15" i="24"/>
  <c r="C34" i="24"/>
  <c r="E15" i="24"/>
  <c r="J3" i="24"/>
  <c r="I4" i="24"/>
  <c r="B35" i="23"/>
  <c r="D35" i="23" s="1"/>
  <c r="B39" i="23"/>
  <c r="D39" i="23" s="1"/>
  <c r="C39" i="23"/>
  <c r="F30" i="23"/>
  <c r="C36" i="23"/>
  <c r="B36" i="23"/>
  <c r="D36" i="23" s="1"/>
  <c r="B38" i="23"/>
  <c r="D38" i="23" s="1"/>
  <c r="F10" i="23"/>
  <c r="C57" i="23"/>
  <c r="C59" i="23" s="1"/>
  <c r="B37" i="23"/>
  <c r="D37" i="23" s="1"/>
  <c r="D30" i="23"/>
  <c r="D15" i="23"/>
  <c r="E30" i="23"/>
  <c r="G15" i="23"/>
  <c r="C35" i="23"/>
  <c r="C38" i="23"/>
  <c r="G30" i="23"/>
  <c r="I4" i="23"/>
  <c r="J3" i="23"/>
  <c r="C34" i="23"/>
  <c r="E15" i="23"/>
  <c r="B34" i="23"/>
  <c r="D34" i="23" s="1"/>
  <c r="F15" i="23"/>
  <c r="I4" i="22"/>
  <c r="J3" i="22"/>
  <c r="C34" i="22"/>
  <c r="E15" i="22"/>
  <c r="B34" i="22"/>
  <c r="D34" i="22" s="1"/>
  <c r="F15" i="22"/>
  <c r="I4" i="21"/>
  <c r="J3" i="21"/>
  <c r="C34" i="21"/>
  <c r="E15" i="21"/>
  <c r="B34" i="21"/>
  <c r="D34" i="21" s="1"/>
  <c r="F15" i="21"/>
  <c r="I4" i="20"/>
  <c r="J3" i="20"/>
  <c r="C34" i="20"/>
  <c r="E15" i="20"/>
  <c r="B34" i="20"/>
  <c r="D34" i="20" s="1"/>
  <c r="F15" i="20"/>
  <c r="I4" i="19"/>
  <c r="J3" i="19"/>
  <c r="C34" i="19"/>
  <c r="E15" i="19"/>
  <c r="B34" i="19"/>
  <c r="D34" i="19" s="1"/>
  <c r="F15" i="19"/>
  <c r="I4" i="18"/>
  <c r="J3" i="18"/>
  <c r="C34" i="18"/>
  <c r="E15" i="18"/>
  <c r="B34" i="18"/>
  <c r="D34" i="18" s="1"/>
  <c r="F15" i="18"/>
  <c r="I4" i="17"/>
  <c r="J3" i="17"/>
  <c r="C34" i="17"/>
  <c r="E15" i="17"/>
  <c r="B34" i="17"/>
  <c r="D34" i="17" s="1"/>
  <c r="F15" i="17"/>
  <c r="I4" i="16"/>
  <c r="J3" i="16"/>
  <c r="C34" i="16"/>
  <c r="E15" i="16"/>
  <c r="B34" i="16"/>
  <c r="D34" i="16" s="1"/>
  <c r="F15" i="16"/>
  <c r="I4" i="15"/>
  <c r="J3" i="15"/>
  <c r="C34" i="15"/>
  <c r="E15" i="15"/>
  <c r="B34" i="15"/>
  <c r="D34" i="15" s="1"/>
  <c r="F15" i="15"/>
  <c r="I4" i="14"/>
  <c r="J3" i="14"/>
  <c r="C34" i="14"/>
  <c r="E15" i="14"/>
  <c r="B34" i="14"/>
  <c r="D34" i="14" s="1"/>
  <c r="F15" i="14"/>
  <c r="I4" i="13"/>
  <c r="J3" i="13"/>
  <c r="C34" i="13"/>
  <c r="E15" i="13"/>
  <c r="B34" i="13"/>
  <c r="D34" i="13" s="1"/>
  <c r="F15" i="13"/>
  <c r="I4" i="1"/>
  <c r="J3" i="1"/>
  <c r="C36" i="1"/>
  <c r="E16" i="1"/>
  <c r="B36" i="1"/>
  <c r="D36" i="1" s="1"/>
  <c r="F16" i="1"/>
  <c r="I4" i="2"/>
  <c r="J3" i="2"/>
  <c r="C36" i="2"/>
  <c r="E16" i="2"/>
  <c r="B36" i="2"/>
  <c r="D36" i="2" s="1"/>
  <c r="F16" i="2"/>
  <c r="I4" i="3"/>
  <c r="J3" i="3"/>
  <c r="C36" i="3"/>
  <c r="E16" i="3"/>
  <c r="B36" i="3"/>
  <c r="D36" i="3" s="1"/>
  <c r="F16" i="3"/>
  <c r="I4" i="4"/>
  <c r="J3" i="4"/>
  <c r="C36" i="4"/>
  <c r="E16" i="4"/>
  <c r="B36" i="4"/>
  <c r="D36" i="4" s="1"/>
  <c r="F16" i="4"/>
  <c r="I4" i="5"/>
  <c r="J3" i="5"/>
  <c r="C36" i="5"/>
  <c r="E16" i="5"/>
  <c r="B36" i="5"/>
  <c r="D36" i="5" s="1"/>
  <c r="F16" i="5"/>
  <c r="I4" i="6"/>
  <c r="J3" i="6"/>
  <c r="C36" i="6"/>
  <c r="E16" i="6"/>
  <c r="B36" i="6"/>
  <c r="D36" i="6" s="1"/>
  <c r="F16" i="6"/>
  <c r="I4" i="7"/>
  <c r="J3" i="7"/>
  <c r="C36" i="7"/>
  <c r="E16" i="7"/>
  <c r="B36" i="7"/>
  <c r="D36" i="7" s="1"/>
  <c r="F16" i="7"/>
  <c r="I4" i="8"/>
  <c r="J3" i="8"/>
  <c r="C36" i="8"/>
  <c r="E16" i="8"/>
  <c r="B36" i="8"/>
  <c r="D36" i="8" s="1"/>
  <c r="F16" i="8"/>
  <c r="I4" i="9"/>
  <c r="J3" i="9"/>
  <c r="C36" i="9"/>
  <c r="E16" i="9"/>
  <c r="B36" i="9"/>
  <c r="D36" i="9" s="1"/>
  <c r="F16" i="9"/>
  <c r="I4" i="10"/>
  <c r="J3" i="10"/>
  <c r="C36" i="10"/>
  <c r="E16" i="10"/>
  <c r="B36" i="10"/>
  <c r="D36" i="10" s="1"/>
  <c r="F16" i="10"/>
  <c r="I4" i="11"/>
  <c r="J3" i="11"/>
  <c r="C36" i="11"/>
  <c r="E16" i="11"/>
  <c r="B36" i="11"/>
  <c r="D36" i="11" s="1"/>
  <c r="F16" i="11"/>
  <c r="I4" i="12"/>
  <c r="J3" i="12"/>
  <c r="B36" i="12"/>
  <c r="D36" i="12" s="1"/>
  <c r="F16" i="12"/>
  <c r="K3" i="24" l="1"/>
  <c r="J4" i="24"/>
  <c r="J4" i="23"/>
  <c r="K3" i="23"/>
  <c r="J4" i="22"/>
  <c r="K3" i="22"/>
  <c r="J4" i="21"/>
  <c r="K3" i="21"/>
  <c r="J4" i="20"/>
  <c r="K3" i="20"/>
  <c r="J4" i="19"/>
  <c r="K3" i="19"/>
  <c r="J4" i="18"/>
  <c r="K3" i="18"/>
  <c r="J4" i="17"/>
  <c r="K3" i="17"/>
  <c r="J4" i="16"/>
  <c r="K3" i="16"/>
  <c r="J4" i="15"/>
  <c r="K3" i="15"/>
  <c r="J4" i="14"/>
  <c r="K3" i="14"/>
  <c r="J4" i="13"/>
  <c r="K3" i="13"/>
  <c r="J4" i="12"/>
  <c r="K3" i="12"/>
  <c r="J4" i="11"/>
  <c r="K3" i="11"/>
  <c r="J4" i="10"/>
  <c r="K3" i="10"/>
  <c r="J4" i="9"/>
  <c r="K3" i="9"/>
  <c r="J4" i="8"/>
  <c r="K3" i="8"/>
  <c r="J4" i="7"/>
  <c r="K3" i="7"/>
  <c r="J4" i="6"/>
  <c r="K3" i="6"/>
  <c r="J4" i="5"/>
  <c r="K3" i="5"/>
  <c r="J4" i="4"/>
  <c r="K3" i="4"/>
  <c r="J4" i="3"/>
  <c r="K3" i="3"/>
  <c r="J4" i="2"/>
  <c r="K3" i="2"/>
  <c r="J4" i="1"/>
  <c r="K3" i="1"/>
  <c r="L3" i="24" l="1"/>
  <c r="K4" i="24"/>
  <c r="K4" i="23"/>
  <c r="L3" i="23"/>
  <c r="K4" i="22"/>
  <c r="L3" i="22"/>
  <c r="K4" i="21"/>
  <c r="L3" i="21"/>
  <c r="K4" i="20"/>
  <c r="L3" i="20"/>
  <c r="K4" i="19"/>
  <c r="L3" i="19"/>
  <c r="K4" i="18"/>
  <c r="L3" i="18"/>
  <c r="K4" i="17"/>
  <c r="L3" i="17"/>
  <c r="K4" i="16"/>
  <c r="L3" i="16"/>
  <c r="K4" i="15"/>
  <c r="L3" i="15"/>
  <c r="K4" i="14"/>
  <c r="L3" i="14"/>
  <c r="K4" i="13"/>
  <c r="L3" i="13"/>
  <c r="K4" i="1"/>
  <c r="L3" i="1"/>
  <c r="K4" i="2"/>
  <c r="L3" i="2"/>
  <c r="K4" i="3"/>
  <c r="L3" i="3"/>
  <c r="K4" i="4"/>
  <c r="L3" i="4"/>
  <c r="K4" i="5"/>
  <c r="L3" i="5"/>
  <c r="K4" i="6"/>
  <c r="L3" i="6"/>
  <c r="K4" i="7"/>
  <c r="L3" i="7"/>
  <c r="K4" i="8"/>
  <c r="L3" i="8"/>
  <c r="K4" i="9"/>
  <c r="L3" i="9"/>
  <c r="K4" i="10"/>
  <c r="L3" i="10"/>
  <c r="K4" i="11"/>
  <c r="L3" i="11"/>
  <c r="K4" i="12"/>
  <c r="L3" i="12"/>
  <c r="M3" i="24" l="1"/>
  <c r="L4" i="24"/>
  <c r="L4" i="23"/>
  <c r="M3" i="23"/>
  <c r="L4" i="22"/>
  <c r="M3" i="22"/>
  <c r="L4" i="21"/>
  <c r="M3" i="21"/>
  <c r="L4" i="20"/>
  <c r="M3" i="20"/>
  <c r="L4" i="19"/>
  <c r="M3" i="19"/>
  <c r="L4" i="18"/>
  <c r="M3" i="18"/>
  <c r="L4" i="17"/>
  <c r="M3" i="17"/>
  <c r="L4" i="16"/>
  <c r="M3" i="16"/>
  <c r="L4" i="15"/>
  <c r="M3" i="15"/>
  <c r="L4" i="14"/>
  <c r="M3" i="14"/>
  <c r="L4" i="13"/>
  <c r="M3" i="13"/>
  <c r="L4" i="12"/>
  <c r="M3" i="12"/>
  <c r="L4" i="11"/>
  <c r="M3" i="11"/>
  <c r="L4" i="10"/>
  <c r="M3" i="10"/>
  <c r="L4" i="9"/>
  <c r="M3" i="9"/>
  <c r="L4" i="8"/>
  <c r="M3" i="8"/>
  <c r="L4" i="7"/>
  <c r="M3" i="7"/>
  <c r="L4" i="6"/>
  <c r="M3" i="6"/>
  <c r="L4" i="5"/>
  <c r="M3" i="5"/>
  <c r="L4" i="4"/>
  <c r="M3" i="4"/>
  <c r="L4" i="3"/>
  <c r="M3" i="3"/>
  <c r="L4" i="2"/>
  <c r="M3" i="2"/>
  <c r="L4" i="1"/>
  <c r="M3" i="1"/>
  <c r="N3" i="24" l="1"/>
  <c r="M4" i="24"/>
  <c r="M4" i="23"/>
  <c r="N3" i="23"/>
  <c r="M4" i="22"/>
  <c r="N3" i="22"/>
  <c r="M4" i="21"/>
  <c r="N3" i="21"/>
  <c r="M4" i="20"/>
  <c r="N3" i="20"/>
  <c r="M4" i="19"/>
  <c r="N3" i="19"/>
  <c r="M4" i="18"/>
  <c r="N3" i="18"/>
  <c r="M4" i="17"/>
  <c r="N3" i="17"/>
  <c r="M4" i="16"/>
  <c r="N3" i="16"/>
  <c r="M4" i="15"/>
  <c r="N3" i="15"/>
  <c r="M4" i="14"/>
  <c r="N3" i="14"/>
  <c r="M4" i="13"/>
  <c r="N3" i="13"/>
  <c r="M4" i="1"/>
  <c r="N3" i="1"/>
  <c r="M4" i="2"/>
  <c r="N3" i="2"/>
  <c r="M4" i="3"/>
  <c r="N3" i="3"/>
  <c r="M4" i="4"/>
  <c r="N3" i="4"/>
  <c r="M4" i="5"/>
  <c r="N3" i="5"/>
  <c r="M4" i="6"/>
  <c r="N3" i="6"/>
  <c r="M4" i="7"/>
  <c r="N3" i="7"/>
  <c r="M4" i="8"/>
  <c r="N3" i="8"/>
  <c r="M4" i="9"/>
  <c r="N3" i="9"/>
  <c r="M4" i="10"/>
  <c r="N3" i="10"/>
  <c r="M4" i="11"/>
  <c r="N3" i="11"/>
  <c r="M4" i="12"/>
  <c r="N3" i="12"/>
  <c r="O3" i="24" l="1"/>
  <c r="N4" i="24"/>
  <c r="N4" i="23"/>
  <c r="O3" i="23"/>
  <c r="N4" i="22"/>
  <c r="O3" i="22"/>
  <c r="N4" i="21"/>
  <c r="O3" i="21"/>
  <c r="N4" i="20"/>
  <c r="O3" i="20"/>
  <c r="N4" i="19"/>
  <c r="O3" i="19"/>
  <c r="N4" i="18"/>
  <c r="O3" i="18"/>
  <c r="N4" i="17"/>
  <c r="O3" i="17"/>
  <c r="N4" i="16"/>
  <c r="O3" i="16"/>
  <c r="N4" i="15"/>
  <c r="O3" i="15"/>
  <c r="N4" i="14"/>
  <c r="O3" i="14"/>
  <c r="N4" i="13"/>
  <c r="O3" i="13"/>
  <c r="N4" i="12"/>
  <c r="O3" i="12"/>
  <c r="N4" i="11"/>
  <c r="O3" i="11"/>
  <c r="N4" i="10"/>
  <c r="O3" i="10"/>
  <c r="N4" i="9"/>
  <c r="O3" i="9"/>
  <c r="N4" i="8"/>
  <c r="O3" i="8"/>
  <c r="N4" i="7"/>
  <c r="O3" i="7"/>
  <c r="N4" i="6"/>
  <c r="O3" i="6"/>
  <c r="N4" i="5"/>
  <c r="O3" i="5"/>
  <c r="N4" i="4"/>
  <c r="O3" i="4"/>
  <c r="N4" i="3"/>
  <c r="O3" i="3"/>
  <c r="N4" i="2"/>
  <c r="O3" i="2"/>
  <c r="N4" i="1"/>
  <c r="O3" i="1"/>
  <c r="O4" i="24" l="1"/>
  <c r="P3" i="24"/>
  <c r="O4" i="23"/>
  <c r="P3" i="23"/>
  <c r="O4" i="22"/>
  <c r="P3" i="22"/>
  <c r="O4" i="21"/>
  <c r="P3" i="21"/>
  <c r="O4" i="20"/>
  <c r="P3" i="20"/>
  <c r="O4" i="19"/>
  <c r="P3" i="19"/>
  <c r="O4" i="18"/>
  <c r="P3" i="18"/>
  <c r="O4" i="17"/>
  <c r="P3" i="17"/>
  <c r="O4" i="16"/>
  <c r="P3" i="16"/>
  <c r="O4" i="15"/>
  <c r="P3" i="15"/>
  <c r="O4" i="14"/>
  <c r="P3" i="14"/>
  <c r="O4" i="13"/>
  <c r="P3" i="13"/>
  <c r="O4" i="1"/>
  <c r="P3" i="1"/>
  <c r="O4" i="2"/>
  <c r="P3" i="2"/>
  <c r="O4" i="3"/>
  <c r="P3" i="3"/>
  <c r="O4" i="4"/>
  <c r="P3" i="4"/>
  <c r="O4" i="5"/>
  <c r="P3" i="5"/>
  <c r="O4" i="6"/>
  <c r="P3" i="6"/>
  <c r="O4" i="7"/>
  <c r="P3" i="7"/>
  <c r="O4" i="8"/>
  <c r="P3" i="8"/>
  <c r="O4" i="9"/>
  <c r="P3" i="9"/>
  <c r="O4" i="10"/>
  <c r="P3" i="10"/>
  <c r="O4" i="11"/>
  <c r="P3" i="11"/>
  <c r="O4" i="12"/>
  <c r="P3" i="12"/>
  <c r="P4" i="24" l="1"/>
  <c r="Q3" i="24"/>
  <c r="P4" i="23"/>
  <c r="Q3" i="23"/>
  <c r="P4" i="22"/>
  <c r="Q3" i="22"/>
  <c r="P4" i="21"/>
  <c r="Q3" i="21"/>
  <c r="P4" i="20"/>
  <c r="Q3" i="20"/>
  <c r="P4" i="19"/>
  <c r="Q3" i="19"/>
  <c r="P4" i="18"/>
  <c r="Q3" i="18"/>
  <c r="P4" i="17"/>
  <c r="Q3" i="17"/>
  <c r="P4" i="16"/>
  <c r="Q3" i="16"/>
  <c r="P4" i="15"/>
  <c r="Q3" i="15"/>
  <c r="P4" i="14"/>
  <c r="Q3" i="14"/>
  <c r="P4" i="13"/>
  <c r="Q3" i="13"/>
  <c r="P4" i="12"/>
  <c r="Q3" i="12"/>
  <c r="P4" i="11"/>
  <c r="Q3" i="11"/>
  <c r="P4" i="10"/>
  <c r="Q3" i="10"/>
  <c r="P4" i="9"/>
  <c r="Q3" i="9"/>
  <c r="P4" i="8"/>
  <c r="Q3" i="8"/>
  <c r="P4" i="7"/>
  <c r="Q3" i="7"/>
  <c r="P4" i="6"/>
  <c r="Q3" i="6"/>
  <c r="P4" i="5"/>
  <c r="Q3" i="5"/>
  <c r="P4" i="4"/>
  <c r="Q3" i="4"/>
  <c r="P4" i="3"/>
  <c r="Q3" i="3"/>
  <c r="P4" i="2"/>
  <c r="Q3" i="2"/>
  <c r="P4" i="1"/>
  <c r="Q3" i="1"/>
  <c r="R3" i="24" l="1"/>
  <c r="Q4" i="24"/>
  <c r="Q4" i="23"/>
  <c r="R3" i="23"/>
  <c r="Q4" i="22"/>
  <c r="R3" i="22"/>
  <c r="Q4" i="21"/>
  <c r="R3" i="21"/>
  <c r="Q4" i="20"/>
  <c r="R3" i="20"/>
  <c r="Q4" i="19"/>
  <c r="R3" i="19"/>
  <c r="Q4" i="18"/>
  <c r="R3" i="18"/>
  <c r="Q4" i="17"/>
  <c r="R3" i="17"/>
  <c r="Q4" i="16"/>
  <c r="R3" i="16"/>
  <c r="Q4" i="15"/>
  <c r="R3" i="15"/>
  <c r="Q4" i="14"/>
  <c r="R3" i="14"/>
  <c r="Q4" i="13"/>
  <c r="R3" i="13"/>
  <c r="Q4" i="1"/>
  <c r="R3" i="1"/>
  <c r="Q4" i="2"/>
  <c r="R3" i="2"/>
  <c r="Q4" i="3"/>
  <c r="R3" i="3"/>
  <c r="Q4" i="4"/>
  <c r="R3" i="4"/>
  <c r="Q4" i="5"/>
  <c r="R3" i="5"/>
  <c r="Q4" i="6"/>
  <c r="R3" i="6"/>
  <c r="Q4" i="7"/>
  <c r="R3" i="7"/>
  <c r="Q4" i="8"/>
  <c r="R3" i="8"/>
  <c r="Q4" i="9"/>
  <c r="R3" i="9"/>
  <c r="Q4" i="10"/>
  <c r="R3" i="10"/>
  <c r="Q4" i="11"/>
  <c r="R3" i="11"/>
  <c r="Q4" i="12"/>
  <c r="R3" i="12"/>
  <c r="S3" i="24" l="1"/>
  <c r="R4" i="24"/>
  <c r="R4" i="23"/>
  <c r="S3" i="23"/>
  <c r="R4" i="22"/>
  <c r="S3" i="22"/>
  <c r="R4" i="21"/>
  <c r="S3" i="21"/>
  <c r="R4" i="20"/>
  <c r="S3" i="20"/>
  <c r="R4" i="19"/>
  <c r="S3" i="19"/>
  <c r="R4" i="18"/>
  <c r="S3" i="18"/>
  <c r="R4" i="17"/>
  <c r="S3" i="17"/>
  <c r="R4" i="16"/>
  <c r="S3" i="16"/>
  <c r="R4" i="15"/>
  <c r="S3" i="15"/>
  <c r="R4" i="14"/>
  <c r="S3" i="14"/>
  <c r="R4" i="13"/>
  <c r="S3" i="13"/>
  <c r="R4" i="12"/>
  <c r="S3" i="12"/>
  <c r="R4" i="11"/>
  <c r="S3" i="11"/>
  <c r="R4" i="10"/>
  <c r="S3" i="10"/>
  <c r="R4" i="9"/>
  <c r="S3" i="9"/>
  <c r="R4" i="8"/>
  <c r="S3" i="8"/>
  <c r="R4" i="7"/>
  <c r="S3" i="7"/>
  <c r="R4" i="6"/>
  <c r="S3" i="6"/>
  <c r="R4" i="5"/>
  <c r="S3" i="5"/>
  <c r="R4" i="4"/>
  <c r="S3" i="4"/>
  <c r="R4" i="3"/>
  <c r="S3" i="3"/>
  <c r="R4" i="2"/>
  <c r="S3" i="2"/>
  <c r="R4" i="1"/>
  <c r="S3" i="1"/>
  <c r="S4" i="24" l="1"/>
  <c r="T3" i="24"/>
  <c r="S4" i="23"/>
  <c r="T3" i="23"/>
  <c r="S4" i="22"/>
  <c r="T3" i="22"/>
  <c r="S4" i="21"/>
  <c r="T3" i="21"/>
  <c r="S4" i="20"/>
  <c r="T3" i="20"/>
  <c r="S4" i="19"/>
  <c r="T3" i="19"/>
  <c r="S4" i="18"/>
  <c r="T3" i="18"/>
  <c r="S4" i="17"/>
  <c r="T3" i="17"/>
  <c r="S4" i="16"/>
  <c r="T3" i="16"/>
  <c r="S4" i="15"/>
  <c r="T3" i="15"/>
  <c r="S4" i="14"/>
  <c r="T3" i="14"/>
  <c r="S4" i="13"/>
  <c r="T3" i="13"/>
  <c r="S4" i="1"/>
  <c r="T3" i="1"/>
  <c r="S4" i="2"/>
  <c r="T3" i="2"/>
  <c r="S4" i="3"/>
  <c r="T3" i="3"/>
  <c r="S4" i="4"/>
  <c r="T3" i="4"/>
  <c r="S4" i="5"/>
  <c r="T3" i="5"/>
  <c r="S4" i="6"/>
  <c r="T3" i="6"/>
  <c r="S4" i="7"/>
  <c r="T3" i="7"/>
  <c r="S4" i="8"/>
  <c r="T3" i="8"/>
  <c r="S4" i="9"/>
  <c r="T3" i="9"/>
  <c r="S4" i="10"/>
  <c r="T3" i="10"/>
  <c r="S4" i="11"/>
  <c r="T3" i="11"/>
  <c r="S4" i="12"/>
  <c r="T3" i="12"/>
  <c r="T4" i="24" l="1"/>
  <c r="U3" i="24"/>
  <c r="T4" i="23"/>
  <c r="U3" i="23"/>
  <c r="T4" i="22"/>
  <c r="U3" i="22"/>
  <c r="T4" i="21"/>
  <c r="U3" i="21"/>
  <c r="T4" i="20"/>
  <c r="U3" i="20"/>
  <c r="T4" i="19"/>
  <c r="U3" i="19"/>
  <c r="T4" i="18"/>
  <c r="U3" i="18"/>
  <c r="T4" i="17"/>
  <c r="U3" i="17"/>
  <c r="T4" i="16"/>
  <c r="U3" i="16"/>
  <c r="T4" i="15"/>
  <c r="U3" i="15"/>
  <c r="T4" i="14"/>
  <c r="U3" i="14"/>
  <c r="T4" i="13"/>
  <c r="U3" i="13"/>
  <c r="T4" i="12"/>
  <c r="U3" i="12"/>
  <c r="T4" i="11"/>
  <c r="U3" i="11"/>
  <c r="T4" i="10"/>
  <c r="U3" i="10"/>
  <c r="T4" i="9"/>
  <c r="U3" i="9"/>
  <c r="T4" i="8"/>
  <c r="U3" i="8"/>
  <c r="T4" i="7"/>
  <c r="U3" i="7"/>
  <c r="T4" i="6"/>
  <c r="U3" i="6"/>
  <c r="T4" i="5"/>
  <c r="U3" i="5"/>
  <c r="T4" i="4"/>
  <c r="U3" i="4"/>
  <c r="T4" i="3"/>
  <c r="U3" i="3"/>
  <c r="T4" i="2"/>
  <c r="U3" i="2"/>
  <c r="T4" i="1"/>
  <c r="U3" i="1"/>
  <c r="U4" i="24" l="1"/>
  <c r="V3" i="24"/>
  <c r="U4" i="23"/>
  <c r="V3" i="23"/>
  <c r="U4" i="22"/>
  <c r="V3" i="22"/>
  <c r="U4" i="21"/>
  <c r="V3" i="21"/>
  <c r="U4" i="20"/>
  <c r="V3" i="20"/>
  <c r="U4" i="19"/>
  <c r="V3" i="19"/>
  <c r="U4" i="18"/>
  <c r="V3" i="18"/>
  <c r="U4" i="17"/>
  <c r="V3" i="17"/>
  <c r="U4" i="16"/>
  <c r="V3" i="16"/>
  <c r="U4" i="15"/>
  <c r="V3" i="15"/>
  <c r="U4" i="14"/>
  <c r="V3" i="14"/>
  <c r="U4" i="13"/>
  <c r="V3" i="13"/>
  <c r="U4" i="1"/>
  <c r="V3" i="1"/>
  <c r="U4" i="2"/>
  <c r="V3" i="2"/>
  <c r="U4" i="3"/>
  <c r="V3" i="3"/>
  <c r="U4" i="4"/>
  <c r="V3" i="4"/>
  <c r="U4" i="5"/>
  <c r="V3" i="5"/>
  <c r="U4" i="6"/>
  <c r="V3" i="6"/>
  <c r="U4" i="7"/>
  <c r="V3" i="7"/>
  <c r="U4" i="8"/>
  <c r="V3" i="8"/>
  <c r="U4" i="9"/>
  <c r="V3" i="9"/>
  <c r="U4" i="10"/>
  <c r="V3" i="10"/>
  <c r="U4" i="11"/>
  <c r="V3" i="11"/>
  <c r="U4" i="12"/>
  <c r="V3" i="12"/>
  <c r="V4" i="24" l="1"/>
  <c r="W3" i="24"/>
  <c r="V4" i="23"/>
  <c r="W3" i="23"/>
  <c r="V4" i="22"/>
  <c r="W3" i="22"/>
  <c r="V4" i="21"/>
  <c r="W3" i="21"/>
  <c r="V4" i="20"/>
  <c r="W3" i="20"/>
  <c r="V4" i="19"/>
  <c r="W3" i="19"/>
  <c r="V4" i="18"/>
  <c r="W3" i="18"/>
  <c r="V4" i="17"/>
  <c r="W3" i="17"/>
  <c r="V4" i="16"/>
  <c r="W3" i="16"/>
  <c r="V4" i="15"/>
  <c r="W3" i="15"/>
  <c r="V4" i="14"/>
  <c r="W3" i="14"/>
  <c r="V4" i="13"/>
  <c r="W3" i="13"/>
  <c r="V4" i="12"/>
  <c r="W3" i="12"/>
  <c r="V4" i="11"/>
  <c r="W3" i="11"/>
  <c r="V4" i="10"/>
  <c r="W3" i="10"/>
  <c r="V4" i="9"/>
  <c r="W3" i="9"/>
  <c r="V4" i="8"/>
  <c r="W3" i="8"/>
  <c r="V4" i="7"/>
  <c r="W3" i="7"/>
  <c r="V4" i="6"/>
  <c r="W3" i="6"/>
  <c r="V4" i="5"/>
  <c r="W3" i="5"/>
  <c r="V4" i="4"/>
  <c r="W3" i="4"/>
  <c r="V4" i="3"/>
  <c r="W3" i="3"/>
  <c r="V4" i="2"/>
  <c r="W3" i="2"/>
  <c r="V4" i="1"/>
  <c r="W3" i="1"/>
  <c r="W4" i="24" l="1"/>
  <c r="Y14" i="24"/>
  <c r="X14" i="24" s="1"/>
  <c r="I18" i="24"/>
  <c r="Y12" i="24"/>
  <c r="X12" i="24" s="1"/>
  <c r="Y11" i="24"/>
  <c r="X11" i="24" s="1"/>
  <c r="Y13" i="24"/>
  <c r="X13" i="24" s="1"/>
  <c r="I18" i="23"/>
  <c r="W4" i="23"/>
  <c r="Y14" i="23"/>
  <c r="X14" i="23" s="1"/>
  <c r="Y13" i="23"/>
  <c r="X13" i="23" s="1"/>
  <c r="Y12" i="23"/>
  <c r="X12" i="23" s="1"/>
  <c r="Y11" i="23"/>
  <c r="X11" i="23" s="1"/>
  <c r="I18" i="22"/>
  <c r="W4" i="22"/>
  <c r="Y14" i="22"/>
  <c r="X14" i="22" s="1"/>
  <c r="Y13" i="22"/>
  <c r="X13" i="22" s="1"/>
  <c r="Y12" i="22"/>
  <c r="X12" i="22" s="1"/>
  <c r="Y11" i="22"/>
  <c r="X11" i="22" s="1"/>
  <c r="I18" i="21"/>
  <c r="W4" i="21"/>
  <c r="Y14" i="21"/>
  <c r="X14" i="21" s="1"/>
  <c r="Y13" i="21"/>
  <c r="X13" i="21" s="1"/>
  <c r="Y12" i="21"/>
  <c r="X12" i="21" s="1"/>
  <c r="Y11" i="21"/>
  <c r="X11" i="21" s="1"/>
  <c r="I18" i="20"/>
  <c r="W4" i="20"/>
  <c r="Y14" i="20"/>
  <c r="X14" i="20" s="1"/>
  <c r="Y13" i="20"/>
  <c r="X13" i="20" s="1"/>
  <c r="Y12" i="20"/>
  <c r="X12" i="20" s="1"/>
  <c r="Y11" i="20"/>
  <c r="X11" i="20" s="1"/>
  <c r="I18" i="19"/>
  <c r="W4" i="19"/>
  <c r="Y14" i="19"/>
  <c r="X14" i="19" s="1"/>
  <c r="Y13" i="19"/>
  <c r="X13" i="19" s="1"/>
  <c r="Y12" i="19"/>
  <c r="X12" i="19" s="1"/>
  <c r="Y11" i="19"/>
  <c r="X11" i="19" s="1"/>
  <c r="I18" i="18"/>
  <c r="W4" i="18"/>
  <c r="Y14" i="18"/>
  <c r="X14" i="18" s="1"/>
  <c r="Y13" i="18"/>
  <c r="X13" i="18" s="1"/>
  <c r="Y12" i="18"/>
  <c r="X12" i="18" s="1"/>
  <c r="Y11" i="18"/>
  <c r="X11" i="18" s="1"/>
  <c r="I18" i="17"/>
  <c r="W4" i="17"/>
  <c r="Y14" i="17"/>
  <c r="X14" i="17" s="1"/>
  <c r="Y13" i="17"/>
  <c r="X13" i="17" s="1"/>
  <c r="Y12" i="17"/>
  <c r="X12" i="17" s="1"/>
  <c r="Y11" i="17"/>
  <c r="X11" i="17" s="1"/>
  <c r="I18" i="16"/>
  <c r="W4" i="16"/>
  <c r="Y14" i="16"/>
  <c r="X14" i="16" s="1"/>
  <c r="Y13" i="16"/>
  <c r="X13" i="16" s="1"/>
  <c r="Y12" i="16"/>
  <c r="X12" i="16" s="1"/>
  <c r="Y11" i="16"/>
  <c r="X11" i="16" s="1"/>
  <c r="I18" i="15"/>
  <c r="W4" i="15"/>
  <c r="Y14" i="15"/>
  <c r="X14" i="15" s="1"/>
  <c r="Y13" i="15"/>
  <c r="X13" i="15" s="1"/>
  <c r="Y12" i="15"/>
  <c r="X12" i="15" s="1"/>
  <c r="Y11" i="15"/>
  <c r="X11" i="15" s="1"/>
  <c r="I18" i="14"/>
  <c r="W4" i="14"/>
  <c r="Y14" i="14"/>
  <c r="X14" i="14" s="1"/>
  <c r="Y13" i="14"/>
  <c r="X13" i="14" s="1"/>
  <c r="Y12" i="14"/>
  <c r="X12" i="14" s="1"/>
  <c r="Y11" i="14"/>
  <c r="X11" i="14" s="1"/>
  <c r="I18" i="13"/>
  <c r="W4" i="13"/>
  <c r="Y14" i="13"/>
  <c r="X14" i="13" s="1"/>
  <c r="Y13" i="13"/>
  <c r="X13" i="13" s="1"/>
  <c r="Y12" i="13"/>
  <c r="X12" i="13" s="1"/>
  <c r="Y11" i="13"/>
  <c r="X11" i="13" s="1"/>
  <c r="I19" i="1"/>
  <c r="W4" i="1"/>
  <c r="Y15" i="1"/>
  <c r="X15" i="1" s="1"/>
  <c r="Y14" i="1"/>
  <c r="X14" i="1" s="1"/>
  <c r="Y13" i="1"/>
  <c r="X13" i="1" s="1"/>
  <c r="Y12" i="1"/>
  <c r="X12" i="1" s="1"/>
  <c r="I19" i="2"/>
  <c r="W4" i="2"/>
  <c r="Y15" i="2"/>
  <c r="X15" i="2" s="1"/>
  <c r="Y14" i="2"/>
  <c r="X14" i="2" s="1"/>
  <c r="Y13" i="2"/>
  <c r="X13" i="2" s="1"/>
  <c r="Y12" i="2"/>
  <c r="X12" i="2" s="1"/>
  <c r="I19" i="3"/>
  <c r="W4" i="3"/>
  <c r="Y15" i="3"/>
  <c r="X15" i="3" s="1"/>
  <c r="Y14" i="3"/>
  <c r="X14" i="3" s="1"/>
  <c r="Y13" i="3"/>
  <c r="X13" i="3" s="1"/>
  <c r="Y12" i="3"/>
  <c r="X12" i="3" s="1"/>
  <c r="I19" i="4"/>
  <c r="W4" i="4"/>
  <c r="Y15" i="4"/>
  <c r="X15" i="4" s="1"/>
  <c r="Y14" i="4"/>
  <c r="X14" i="4" s="1"/>
  <c r="Y13" i="4"/>
  <c r="X13" i="4" s="1"/>
  <c r="Y12" i="4"/>
  <c r="X12" i="4" s="1"/>
  <c r="Y11" i="4"/>
  <c r="X11" i="4" s="1"/>
  <c r="I19" i="5"/>
  <c r="W4" i="5"/>
  <c r="Y15" i="5"/>
  <c r="X15" i="5" s="1"/>
  <c r="Y14" i="5"/>
  <c r="X14" i="5" s="1"/>
  <c r="Y13" i="5"/>
  <c r="X13" i="5" s="1"/>
  <c r="Y12" i="5"/>
  <c r="X12" i="5" s="1"/>
  <c r="Y11" i="5"/>
  <c r="X11" i="5" s="1"/>
  <c r="I19" i="6"/>
  <c r="W4" i="6"/>
  <c r="Y15" i="6"/>
  <c r="X15" i="6" s="1"/>
  <c r="Y14" i="6"/>
  <c r="X14" i="6" s="1"/>
  <c r="Y13" i="6"/>
  <c r="X13" i="6" s="1"/>
  <c r="Y12" i="6"/>
  <c r="X12" i="6" s="1"/>
  <c r="Y11" i="6"/>
  <c r="X11" i="6" s="1"/>
  <c r="I19" i="7"/>
  <c r="W4" i="7"/>
  <c r="Y15" i="7"/>
  <c r="X15" i="7" s="1"/>
  <c r="Y14" i="7"/>
  <c r="X14" i="7" s="1"/>
  <c r="Y13" i="7"/>
  <c r="X13" i="7" s="1"/>
  <c r="Y12" i="7"/>
  <c r="X12" i="7" s="1"/>
  <c r="Y11" i="7"/>
  <c r="X11" i="7" s="1"/>
  <c r="I19" i="8"/>
  <c r="W4" i="8"/>
  <c r="Y15" i="8"/>
  <c r="X15" i="8" s="1"/>
  <c r="Y14" i="8"/>
  <c r="X14" i="8" s="1"/>
  <c r="Y13" i="8"/>
  <c r="X13" i="8" s="1"/>
  <c r="Y12" i="8"/>
  <c r="X12" i="8" s="1"/>
  <c r="Y11" i="8"/>
  <c r="X11" i="8" s="1"/>
  <c r="I19" i="9"/>
  <c r="W4" i="9"/>
  <c r="Y15" i="9"/>
  <c r="X15" i="9" s="1"/>
  <c r="Y14" i="9"/>
  <c r="X14" i="9" s="1"/>
  <c r="Y13" i="9"/>
  <c r="X13" i="9" s="1"/>
  <c r="Y12" i="9"/>
  <c r="X12" i="9" s="1"/>
  <c r="Y11" i="9"/>
  <c r="X11" i="9" s="1"/>
  <c r="I19" i="10"/>
  <c r="W4" i="10"/>
  <c r="Y15" i="10"/>
  <c r="X15" i="10" s="1"/>
  <c r="Y14" i="10"/>
  <c r="X14" i="10" s="1"/>
  <c r="Y13" i="10"/>
  <c r="X13" i="10" s="1"/>
  <c r="Y12" i="10"/>
  <c r="X12" i="10" s="1"/>
  <c r="Y11" i="10"/>
  <c r="X11" i="10" s="1"/>
  <c r="I19" i="11"/>
  <c r="W4" i="11"/>
  <c r="Y15" i="11"/>
  <c r="X15" i="11" s="1"/>
  <c r="Y14" i="11"/>
  <c r="X14" i="11" s="1"/>
  <c r="Y13" i="11"/>
  <c r="X13" i="11" s="1"/>
  <c r="Y12" i="11"/>
  <c r="X12" i="11" s="1"/>
  <c r="Y11" i="11"/>
  <c r="X11" i="11" s="1"/>
  <c r="I19" i="12"/>
  <c r="W4" i="12"/>
  <c r="B51" i="12"/>
  <c r="Y15" i="12"/>
  <c r="X15" i="12" s="1"/>
  <c r="Y14" i="12"/>
  <c r="X14" i="12" s="1"/>
  <c r="Y13" i="12"/>
  <c r="X13" i="12" s="1"/>
  <c r="Y12" i="12"/>
  <c r="X12" i="12" s="1"/>
  <c r="Y11" i="12"/>
  <c r="Y10" i="12"/>
  <c r="Y9" i="12"/>
  <c r="Y8" i="12"/>
  <c r="Y7" i="12"/>
  <c r="E7" i="12" s="1"/>
  <c r="Y6" i="12"/>
  <c r="Y5" i="12"/>
  <c r="J18" i="24" l="1"/>
  <c r="I19" i="24"/>
  <c r="I19" i="23"/>
  <c r="J18" i="23"/>
  <c r="I19" i="22"/>
  <c r="J18" i="22"/>
  <c r="I19" i="21"/>
  <c r="J18" i="21"/>
  <c r="I19" i="20"/>
  <c r="J18" i="20"/>
  <c r="I19" i="19"/>
  <c r="J18" i="19"/>
  <c r="I19" i="18"/>
  <c r="J18" i="18"/>
  <c r="I19" i="17"/>
  <c r="J18" i="17"/>
  <c r="I19" i="16"/>
  <c r="J18" i="16"/>
  <c r="I19" i="15"/>
  <c r="J18" i="15"/>
  <c r="I19" i="14"/>
  <c r="J18" i="14"/>
  <c r="I19" i="13"/>
  <c r="J18" i="13"/>
  <c r="X5" i="12"/>
  <c r="E5" i="12"/>
  <c r="X6" i="12"/>
  <c r="E6" i="12"/>
  <c r="D7" i="12"/>
  <c r="X8" i="12"/>
  <c r="E8" i="12"/>
  <c r="X9" i="12"/>
  <c r="E9" i="12"/>
  <c r="X10" i="12"/>
  <c r="E10" i="12"/>
  <c r="X11" i="12"/>
  <c r="E11" i="12"/>
  <c r="B53" i="12"/>
  <c r="C51" i="12"/>
  <c r="C53" i="12" s="1"/>
  <c r="I20" i="12"/>
  <c r="J19" i="12"/>
  <c r="I20" i="11"/>
  <c r="J19" i="11"/>
  <c r="I20" i="10"/>
  <c r="J19" i="10"/>
  <c r="I20" i="9"/>
  <c r="J19" i="9"/>
  <c r="I20" i="8"/>
  <c r="J19" i="8"/>
  <c r="I20" i="7"/>
  <c r="J19" i="7"/>
  <c r="I20" i="6"/>
  <c r="J19" i="6"/>
  <c r="I20" i="5"/>
  <c r="J19" i="5"/>
  <c r="I20" i="4"/>
  <c r="J19" i="4"/>
  <c r="I20" i="3"/>
  <c r="J19" i="3"/>
  <c r="I20" i="2"/>
  <c r="J19" i="2"/>
  <c r="I20" i="1"/>
  <c r="J19" i="1"/>
  <c r="J19" i="24" l="1"/>
  <c r="K18" i="24"/>
  <c r="J19" i="23"/>
  <c r="K18" i="23"/>
  <c r="J19" i="22"/>
  <c r="K18" i="22"/>
  <c r="J19" i="21"/>
  <c r="K18" i="21"/>
  <c r="J19" i="20"/>
  <c r="K18" i="20"/>
  <c r="J19" i="19"/>
  <c r="K18" i="19"/>
  <c r="J19" i="18"/>
  <c r="K18" i="18"/>
  <c r="J19" i="17"/>
  <c r="K18" i="17"/>
  <c r="J19" i="16"/>
  <c r="K18" i="16"/>
  <c r="J19" i="15"/>
  <c r="K18" i="15"/>
  <c r="J19" i="14"/>
  <c r="K18" i="14"/>
  <c r="J19" i="13"/>
  <c r="K18" i="13"/>
  <c r="J20" i="1"/>
  <c r="K19" i="1"/>
  <c r="J20" i="2"/>
  <c r="K19" i="2"/>
  <c r="J20" i="3"/>
  <c r="K19" i="3"/>
  <c r="J20" i="4"/>
  <c r="K19" i="4"/>
  <c r="J20" i="5"/>
  <c r="K19" i="5"/>
  <c r="J20" i="6"/>
  <c r="K19" i="6"/>
  <c r="J20" i="7"/>
  <c r="K19" i="7"/>
  <c r="J20" i="8"/>
  <c r="K19" i="8"/>
  <c r="J20" i="9"/>
  <c r="K19" i="9"/>
  <c r="J20" i="10"/>
  <c r="K19" i="10"/>
  <c r="J20" i="11"/>
  <c r="K19" i="11"/>
  <c r="J20" i="12"/>
  <c r="K19" i="12"/>
  <c r="D11" i="12"/>
  <c r="D10" i="12"/>
  <c r="D9" i="12"/>
  <c r="D8" i="12"/>
  <c r="D6" i="12"/>
  <c r="E16" i="12"/>
  <c r="D5" i="12"/>
  <c r="D16" i="12" s="1"/>
  <c r="L18" i="24" l="1"/>
  <c r="K19" i="24"/>
  <c r="K19" i="23"/>
  <c r="L18" i="23"/>
  <c r="K19" i="22"/>
  <c r="L18" i="22"/>
  <c r="K19" i="21"/>
  <c r="L18" i="21"/>
  <c r="K19" i="20"/>
  <c r="L18" i="20"/>
  <c r="K19" i="19"/>
  <c r="L18" i="19"/>
  <c r="K19" i="18"/>
  <c r="L18" i="18"/>
  <c r="K19" i="17"/>
  <c r="L18" i="17"/>
  <c r="K19" i="16"/>
  <c r="L18" i="16"/>
  <c r="K19" i="15"/>
  <c r="L18" i="15"/>
  <c r="K19" i="14"/>
  <c r="L18" i="14"/>
  <c r="K19" i="13"/>
  <c r="L18" i="13"/>
  <c r="K20" i="12"/>
  <c r="L19" i="12"/>
  <c r="K20" i="11"/>
  <c r="L19" i="11"/>
  <c r="K20" i="10"/>
  <c r="L19" i="10"/>
  <c r="K20" i="9"/>
  <c r="L19" i="9"/>
  <c r="K20" i="8"/>
  <c r="L19" i="8"/>
  <c r="K20" i="7"/>
  <c r="L19" i="7"/>
  <c r="K20" i="6"/>
  <c r="L19" i="6"/>
  <c r="K20" i="5"/>
  <c r="L19" i="5"/>
  <c r="K20" i="4"/>
  <c r="L19" i="4"/>
  <c r="K20" i="3"/>
  <c r="L19" i="3"/>
  <c r="K20" i="2"/>
  <c r="L19" i="2"/>
  <c r="K20" i="1"/>
  <c r="L19" i="1"/>
  <c r="M18" i="24" l="1"/>
  <c r="L19" i="24"/>
  <c r="L19" i="23"/>
  <c r="M18" i="23"/>
  <c r="L19" i="22"/>
  <c r="M18" i="22"/>
  <c r="L19" i="21"/>
  <c r="M18" i="21"/>
  <c r="L19" i="20"/>
  <c r="M18" i="20"/>
  <c r="L19" i="19"/>
  <c r="M18" i="19"/>
  <c r="L19" i="18"/>
  <c r="M18" i="18"/>
  <c r="L19" i="17"/>
  <c r="M18" i="17"/>
  <c r="L19" i="16"/>
  <c r="M18" i="16"/>
  <c r="L19" i="15"/>
  <c r="M18" i="15"/>
  <c r="L19" i="14"/>
  <c r="M18" i="14"/>
  <c r="L19" i="13"/>
  <c r="M18" i="13"/>
  <c r="L20" i="1"/>
  <c r="M19" i="1"/>
  <c r="L20" i="2"/>
  <c r="M19" i="2"/>
  <c r="L20" i="3"/>
  <c r="M19" i="3"/>
  <c r="L20" i="4"/>
  <c r="M19" i="4"/>
  <c r="L20" i="5"/>
  <c r="M19" i="5"/>
  <c r="L20" i="6"/>
  <c r="M19" i="6"/>
  <c r="L20" i="7"/>
  <c r="M19" i="7"/>
  <c r="L20" i="8"/>
  <c r="M19" i="8"/>
  <c r="L20" i="9"/>
  <c r="M19" i="9"/>
  <c r="L20" i="10"/>
  <c r="M19" i="10"/>
  <c r="L20" i="11"/>
  <c r="M19" i="11"/>
  <c r="L20" i="12"/>
  <c r="M19" i="12"/>
  <c r="N18" i="24" l="1"/>
  <c r="M19" i="24"/>
  <c r="M19" i="23"/>
  <c r="N18" i="23"/>
  <c r="M19" i="22"/>
  <c r="N18" i="22"/>
  <c r="M19" i="21"/>
  <c r="N18" i="21"/>
  <c r="M19" i="20"/>
  <c r="N18" i="20"/>
  <c r="M19" i="19"/>
  <c r="N18" i="19"/>
  <c r="M19" i="18"/>
  <c r="N18" i="18"/>
  <c r="M19" i="17"/>
  <c r="N18" i="17"/>
  <c r="M19" i="16"/>
  <c r="N18" i="16"/>
  <c r="M19" i="15"/>
  <c r="N18" i="15"/>
  <c r="M19" i="14"/>
  <c r="N18" i="14"/>
  <c r="M19" i="13"/>
  <c r="N18" i="13"/>
  <c r="M20" i="12"/>
  <c r="N19" i="12"/>
  <c r="M20" i="11"/>
  <c r="N19" i="11"/>
  <c r="M20" i="10"/>
  <c r="N19" i="10"/>
  <c r="M20" i="9"/>
  <c r="N19" i="9"/>
  <c r="M20" i="8"/>
  <c r="N19" i="8"/>
  <c r="M20" i="7"/>
  <c r="N19" i="7"/>
  <c r="M20" i="6"/>
  <c r="N19" i="6"/>
  <c r="M20" i="5"/>
  <c r="N19" i="5"/>
  <c r="M20" i="4"/>
  <c r="N19" i="4"/>
  <c r="M20" i="3"/>
  <c r="N19" i="3"/>
  <c r="M20" i="2"/>
  <c r="N19" i="2"/>
  <c r="M20" i="1"/>
  <c r="N19" i="1"/>
  <c r="O18" i="24" l="1"/>
  <c r="N19" i="24"/>
  <c r="N19" i="23"/>
  <c r="O18" i="23"/>
  <c r="N19" i="22"/>
  <c r="O18" i="22"/>
  <c r="N19" i="21"/>
  <c r="O18" i="21"/>
  <c r="N19" i="20"/>
  <c r="O18" i="20"/>
  <c r="N19" i="19"/>
  <c r="O18" i="19"/>
  <c r="N19" i="18"/>
  <c r="O18" i="18"/>
  <c r="N19" i="17"/>
  <c r="O18" i="17"/>
  <c r="N19" i="16"/>
  <c r="O18" i="16"/>
  <c r="N19" i="15"/>
  <c r="O18" i="15"/>
  <c r="N19" i="14"/>
  <c r="O18" i="14"/>
  <c r="N19" i="13"/>
  <c r="O18" i="13"/>
  <c r="N20" i="1"/>
  <c r="O19" i="1"/>
  <c r="N20" i="2"/>
  <c r="O19" i="2"/>
  <c r="N20" i="3"/>
  <c r="O19" i="3"/>
  <c r="N20" i="4"/>
  <c r="O19" i="4"/>
  <c r="N20" i="5"/>
  <c r="O19" i="5"/>
  <c r="N20" i="6"/>
  <c r="O19" i="6"/>
  <c r="N20" i="7"/>
  <c r="O19" i="7"/>
  <c r="N20" i="8"/>
  <c r="O19" i="8"/>
  <c r="N20" i="9"/>
  <c r="O19" i="9"/>
  <c r="N20" i="10"/>
  <c r="O19" i="10"/>
  <c r="N20" i="11"/>
  <c r="O19" i="11"/>
  <c r="N20" i="12"/>
  <c r="O19" i="12"/>
  <c r="P18" i="24" l="1"/>
  <c r="O19" i="24"/>
  <c r="O19" i="23"/>
  <c r="P18" i="23"/>
  <c r="O19" i="22"/>
  <c r="P18" i="22"/>
  <c r="O19" i="21"/>
  <c r="P18" i="21"/>
  <c r="O19" i="20"/>
  <c r="P18" i="20"/>
  <c r="O19" i="19"/>
  <c r="P18" i="19"/>
  <c r="O19" i="18"/>
  <c r="P18" i="18"/>
  <c r="O19" i="17"/>
  <c r="P18" i="17"/>
  <c r="O19" i="16"/>
  <c r="P18" i="16"/>
  <c r="O19" i="15"/>
  <c r="P18" i="15"/>
  <c r="O19" i="14"/>
  <c r="P18" i="14"/>
  <c r="O19" i="13"/>
  <c r="P18" i="13"/>
  <c r="O20" i="12"/>
  <c r="P19" i="12"/>
  <c r="O20" i="11"/>
  <c r="P19" i="11"/>
  <c r="O20" i="10"/>
  <c r="P19" i="10"/>
  <c r="O20" i="9"/>
  <c r="P19" i="9"/>
  <c r="O20" i="8"/>
  <c r="P19" i="8"/>
  <c r="O20" i="7"/>
  <c r="P19" i="7"/>
  <c r="O20" i="6"/>
  <c r="P19" i="6"/>
  <c r="O20" i="5"/>
  <c r="P19" i="5"/>
  <c r="O20" i="4"/>
  <c r="P19" i="4"/>
  <c r="O20" i="3"/>
  <c r="P19" i="3"/>
  <c r="O20" i="2"/>
  <c r="P19" i="2"/>
  <c r="O20" i="1"/>
  <c r="P19" i="1"/>
  <c r="Q18" i="24" l="1"/>
  <c r="P19" i="24"/>
  <c r="P19" i="23"/>
  <c r="Q18" i="23"/>
  <c r="P19" i="22"/>
  <c r="Q18" i="22"/>
  <c r="P19" i="21"/>
  <c r="Q18" i="21"/>
  <c r="P19" i="20"/>
  <c r="Q18" i="20"/>
  <c r="P19" i="19"/>
  <c r="Q18" i="19"/>
  <c r="P19" i="18"/>
  <c r="Q18" i="18"/>
  <c r="P19" i="17"/>
  <c r="Q18" i="17"/>
  <c r="P19" i="16"/>
  <c r="Q18" i="16"/>
  <c r="P19" i="15"/>
  <c r="Q18" i="15"/>
  <c r="P19" i="14"/>
  <c r="Q18" i="14"/>
  <c r="P19" i="13"/>
  <c r="Q18" i="13"/>
  <c r="P20" i="1"/>
  <c r="Q19" i="1"/>
  <c r="P20" i="2"/>
  <c r="Q19" i="2"/>
  <c r="P20" i="3"/>
  <c r="Q19" i="3"/>
  <c r="P20" i="4"/>
  <c r="Q19" i="4"/>
  <c r="P20" i="5"/>
  <c r="Q19" i="5"/>
  <c r="P20" i="6"/>
  <c r="Q19" i="6"/>
  <c r="P20" i="7"/>
  <c r="Q19" i="7"/>
  <c r="P20" i="8"/>
  <c r="Q19" i="8"/>
  <c r="P20" i="9"/>
  <c r="Q19" i="9"/>
  <c r="P20" i="10"/>
  <c r="Q19" i="10"/>
  <c r="P20" i="11"/>
  <c r="Q19" i="11"/>
  <c r="P20" i="12"/>
  <c r="Q19" i="12"/>
  <c r="R18" i="24" l="1"/>
  <c r="Q19" i="24"/>
  <c r="Q19" i="23"/>
  <c r="R18" i="23"/>
  <c r="Q19" i="22"/>
  <c r="R18" i="22"/>
  <c r="Q19" i="21"/>
  <c r="R18" i="21"/>
  <c r="Q19" i="20"/>
  <c r="R18" i="20"/>
  <c r="Q19" i="19"/>
  <c r="R18" i="19"/>
  <c r="Q19" i="18"/>
  <c r="R18" i="18"/>
  <c r="Q19" i="17"/>
  <c r="R18" i="17"/>
  <c r="Q19" i="16"/>
  <c r="R18" i="16"/>
  <c r="Q19" i="15"/>
  <c r="R18" i="15"/>
  <c r="Q19" i="14"/>
  <c r="R18" i="14"/>
  <c r="Q19" i="13"/>
  <c r="R18" i="13"/>
  <c r="Q20" i="12"/>
  <c r="R19" i="12"/>
  <c r="Q20" i="11"/>
  <c r="R19" i="11"/>
  <c r="Q20" i="10"/>
  <c r="R19" i="10"/>
  <c r="Q20" i="9"/>
  <c r="R19" i="9"/>
  <c r="Q20" i="8"/>
  <c r="R19" i="8"/>
  <c r="Q20" i="7"/>
  <c r="R19" i="7"/>
  <c r="Q20" i="6"/>
  <c r="R19" i="6"/>
  <c r="Q20" i="5"/>
  <c r="R19" i="5"/>
  <c r="Q20" i="4"/>
  <c r="R19" i="4"/>
  <c r="Q20" i="3"/>
  <c r="R19" i="3"/>
  <c r="Q20" i="2"/>
  <c r="R19" i="2"/>
  <c r="Q20" i="1"/>
  <c r="R19" i="1"/>
  <c r="S18" i="24" l="1"/>
  <c r="R19" i="24"/>
  <c r="R19" i="23"/>
  <c r="S18" i="23"/>
  <c r="R19" i="22"/>
  <c r="S18" i="22"/>
  <c r="R19" i="21"/>
  <c r="S18" i="21"/>
  <c r="R19" i="20"/>
  <c r="S18" i="20"/>
  <c r="R19" i="19"/>
  <c r="S18" i="19"/>
  <c r="R19" i="18"/>
  <c r="S18" i="18"/>
  <c r="R19" i="17"/>
  <c r="S18" i="17"/>
  <c r="R19" i="16"/>
  <c r="S18" i="16"/>
  <c r="R19" i="15"/>
  <c r="S18" i="15"/>
  <c r="R19" i="14"/>
  <c r="S18" i="14"/>
  <c r="R19" i="13"/>
  <c r="S18" i="13"/>
  <c r="R20" i="1"/>
  <c r="S19" i="1"/>
  <c r="R20" i="2"/>
  <c r="S19" i="2"/>
  <c r="R20" i="3"/>
  <c r="S19" i="3"/>
  <c r="R20" i="4"/>
  <c r="S19" i="4"/>
  <c r="R20" i="5"/>
  <c r="S19" i="5"/>
  <c r="R20" i="6"/>
  <c r="S19" i="6"/>
  <c r="R20" i="7"/>
  <c r="S19" i="7"/>
  <c r="R20" i="8"/>
  <c r="S19" i="8"/>
  <c r="R20" i="9"/>
  <c r="S19" i="9"/>
  <c r="R20" i="10"/>
  <c r="S19" i="10"/>
  <c r="R20" i="11"/>
  <c r="S19" i="11"/>
  <c r="B59" i="12"/>
  <c r="C59" i="12" s="1"/>
  <c r="R20" i="12"/>
  <c r="S19" i="12"/>
  <c r="T18" i="24" l="1"/>
  <c r="S19" i="24"/>
  <c r="S19" i="23"/>
  <c r="T18" i="23"/>
  <c r="S19" i="22"/>
  <c r="T18" i="22"/>
  <c r="S19" i="21"/>
  <c r="T18" i="21"/>
  <c r="S19" i="20"/>
  <c r="T18" i="20"/>
  <c r="S19" i="19"/>
  <c r="T18" i="19"/>
  <c r="S19" i="18"/>
  <c r="T18" i="18"/>
  <c r="S19" i="17"/>
  <c r="T18" i="17"/>
  <c r="S19" i="16"/>
  <c r="T18" i="16"/>
  <c r="S19" i="15"/>
  <c r="T18" i="15"/>
  <c r="S19" i="14"/>
  <c r="T18" i="14"/>
  <c r="S19" i="13"/>
  <c r="T18" i="13"/>
  <c r="S20" i="12"/>
  <c r="T19" i="12"/>
  <c r="S20" i="11"/>
  <c r="T19" i="11"/>
  <c r="S20" i="10"/>
  <c r="T19" i="10"/>
  <c r="S20" i="9"/>
  <c r="T19" i="9"/>
  <c r="S20" i="8"/>
  <c r="T19" i="8"/>
  <c r="S20" i="7"/>
  <c r="T19" i="7"/>
  <c r="S20" i="6"/>
  <c r="T19" i="6"/>
  <c r="S20" i="5"/>
  <c r="T19" i="5"/>
  <c r="S20" i="4"/>
  <c r="T19" i="4"/>
  <c r="S20" i="3"/>
  <c r="T19" i="3"/>
  <c r="S20" i="2"/>
  <c r="T19" i="2"/>
  <c r="S20" i="1"/>
  <c r="T19" i="1"/>
  <c r="U18" i="24" l="1"/>
  <c r="T19" i="24"/>
  <c r="T19" i="23"/>
  <c r="U18" i="23"/>
  <c r="T19" i="22"/>
  <c r="U18" i="22"/>
  <c r="T19" i="21"/>
  <c r="U18" i="21"/>
  <c r="T19" i="20"/>
  <c r="U18" i="20"/>
  <c r="T19" i="19"/>
  <c r="U18" i="19"/>
  <c r="T19" i="18"/>
  <c r="U18" i="18"/>
  <c r="T19" i="17"/>
  <c r="U18" i="17"/>
  <c r="T19" i="16"/>
  <c r="U18" i="16"/>
  <c r="T19" i="15"/>
  <c r="U18" i="15"/>
  <c r="T19" i="14"/>
  <c r="U18" i="14"/>
  <c r="T19" i="13"/>
  <c r="U18" i="13"/>
  <c r="T20" i="1"/>
  <c r="U19" i="1"/>
  <c r="T20" i="2"/>
  <c r="U19" i="2"/>
  <c r="T20" i="3"/>
  <c r="U19" i="3"/>
  <c r="T20" i="4"/>
  <c r="U19" i="4"/>
  <c r="T20" i="5"/>
  <c r="U19" i="5"/>
  <c r="T20" i="6"/>
  <c r="U19" i="6"/>
  <c r="T20" i="7"/>
  <c r="U19" i="7"/>
  <c r="T20" i="8"/>
  <c r="U19" i="8"/>
  <c r="T20" i="9"/>
  <c r="U19" i="9"/>
  <c r="T20" i="10"/>
  <c r="U19" i="10"/>
  <c r="T20" i="11"/>
  <c r="U19" i="11"/>
  <c r="T20" i="12"/>
  <c r="U19" i="12"/>
  <c r="V18" i="24" l="1"/>
  <c r="U19" i="24"/>
  <c r="U19" i="23"/>
  <c r="V18" i="23"/>
  <c r="U19" i="22"/>
  <c r="U19" i="21"/>
  <c r="V18" i="21"/>
  <c r="U19" i="20"/>
  <c r="V18" i="20"/>
  <c r="U19" i="19"/>
  <c r="V18" i="19"/>
  <c r="U19" i="18"/>
  <c r="V18" i="18"/>
  <c r="U19" i="17"/>
  <c r="V18" i="17"/>
  <c r="U19" i="16"/>
  <c r="V18" i="16"/>
  <c r="U19" i="15"/>
  <c r="V18" i="15"/>
  <c r="U19" i="14"/>
  <c r="V18" i="14"/>
  <c r="U19" i="13"/>
  <c r="V18" i="13"/>
  <c r="U20" i="12"/>
  <c r="V19" i="12"/>
  <c r="U20" i="11"/>
  <c r="V19" i="11"/>
  <c r="U20" i="10"/>
  <c r="V19" i="10"/>
  <c r="U20" i="9"/>
  <c r="V19" i="9"/>
  <c r="U20" i="8"/>
  <c r="V19" i="8"/>
  <c r="U20" i="7"/>
  <c r="V19" i="7"/>
  <c r="U20" i="6"/>
  <c r="V19" i="6"/>
  <c r="U20" i="5"/>
  <c r="V19" i="5"/>
  <c r="U20" i="4"/>
  <c r="V19" i="4"/>
  <c r="U20" i="3"/>
  <c r="V19" i="3"/>
  <c r="U20" i="2"/>
  <c r="V19" i="2"/>
  <c r="V20" i="2" s="1"/>
  <c r="U20" i="1"/>
  <c r="V19" i="1"/>
  <c r="V19" i="24" l="1"/>
  <c r="W18" i="24"/>
  <c r="W18" i="23"/>
  <c r="V19" i="23"/>
  <c r="V19" i="21"/>
  <c r="W18" i="21"/>
  <c r="W19" i="21" s="1"/>
  <c r="V19" i="20"/>
  <c r="W18" i="20"/>
  <c r="V19" i="19"/>
  <c r="W18" i="19"/>
  <c r="W19" i="19" s="1"/>
  <c r="V19" i="18"/>
  <c r="W18" i="18"/>
  <c r="X18" i="18" s="1"/>
  <c r="X19" i="18" s="1"/>
  <c r="V19" i="17"/>
  <c r="W18" i="17"/>
  <c r="V19" i="16"/>
  <c r="W18" i="16"/>
  <c r="W19" i="16" s="1"/>
  <c r="V19" i="15"/>
  <c r="W18" i="15"/>
  <c r="X18" i="15" s="1"/>
  <c r="X19" i="15" s="1"/>
  <c r="V19" i="14"/>
  <c r="W18" i="14"/>
  <c r="V19" i="13"/>
  <c r="W18" i="13"/>
  <c r="V20" i="1"/>
  <c r="W19" i="1"/>
  <c r="V20" i="3"/>
  <c r="W19" i="3"/>
  <c r="V20" i="4"/>
  <c r="W19" i="4"/>
  <c r="W20" i="4" s="1"/>
  <c r="V20" i="5"/>
  <c r="W19" i="5"/>
  <c r="V20" i="6"/>
  <c r="W19" i="6"/>
  <c r="W20" i="6" s="1"/>
  <c r="V20" i="7"/>
  <c r="W19" i="7"/>
  <c r="V20" i="8"/>
  <c r="W19" i="8"/>
  <c r="V20" i="9"/>
  <c r="W19" i="9"/>
  <c r="W20" i="9" s="1"/>
  <c r="V20" i="10"/>
  <c r="W19" i="10"/>
  <c r="V20" i="11"/>
  <c r="W19" i="11"/>
  <c r="W20" i="11" s="1"/>
  <c r="V20" i="12"/>
  <c r="W19" i="12"/>
  <c r="W19" i="24" l="1"/>
  <c r="X18" i="24"/>
  <c r="X19" i="24" s="1"/>
  <c r="W19" i="23"/>
  <c r="X18" i="23"/>
  <c r="X19" i="23" s="1"/>
  <c r="W19" i="20"/>
  <c r="X18" i="20"/>
  <c r="X19" i="20" s="1"/>
  <c r="W19" i="18"/>
  <c r="W19" i="17"/>
  <c r="X18" i="17"/>
  <c r="X19" i="17" s="1"/>
  <c r="W19" i="15"/>
  <c r="W19" i="14"/>
  <c r="W19" i="13"/>
  <c r="X18" i="13"/>
  <c r="X19" i="13" s="1"/>
  <c r="W20" i="12"/>
  <c r="X19" i="12"/>
  <c r="W20" i="10"/>
  <c r="X19" i="10"/>
  <c r="X20" i="10" s="1"/>
  <c r="W20" i="8"/>
  <c r="X19" i="8"/>
  <c r="X20" i="8" s="1"/>
  <c r="W20" i="7"/>
  <c r="X19" i="7"/>
  <c r="X20" i="7" s="1"/>
  <c r="W20" i="5"/>
  <c r="X19" i="5"/>
  <c r="X20" i="5" s="1"/>
  <c r="W20" i="3"/>
  <c r="X19" i="3"/>
  <c r="X20" i="3" s="1"/>
  <c r="W20" i="1"/>
  <c r="X19" i="1"/>
  <c r="X20" i="1" s="1"/>
  <c r="X20" i="12" l="1"/>
  <c r="B58" i="12"/>
  <c r="Z27" i="12"/>
  <c r="Z26" i="12"/>
  <c r="E26" i="12" s="1"/>
  <c r="Z25" i="12"/>
  <c r="Z24" i="12"/>
  <c r="Z23" i="12"/>
  <c r="Z22" i="12"/>
  <c r="Z21" i="12"/>
  <c r="Y21" i="12" l="1"/>
  <c r="E21" i="12"/>
  <c r="Y22" i="12"/>
  <c r="E22" i="12"/>
  <c r="Y23" i="12"/>
  <c r="E23" i="12"/>
  <c r="Y24" i="12"/>
  <c r="E24" i="12"/>
  <c r="Y25" i="12"/>
  <c r="E25" i="12"/>
  <c r="D26" i="12"/>
  <c r="C41" i="12"/>
  <c r="Y27" i="12"/>
  <c r="E27" i="12"/>
  <c r="B60" i="12"/>
  <c r="C58" i="12"/>
  <c r="C60" i="12" s="1"/>
  <c r="C62" i="12" s="1"/>
  <c r="D27" i="12" l="1"/>
  <c r="C42" i="12"/>
  <c r="D25" i="12"/>
  <c r="C40" i="12"/>
  <c r="D24" i="12"/>
  <c r="C39" i="12"/>
  <c r="D23" i="12"/>
  <c r="C38" i="12"/>
  <c r="D22" i="12"/>
  <c r="C37" i="12"/>
  <c r="E32" i="12"/>
  <c r="D21" i="12"/>
  <c r="D32" i="12" s="1"/>
  <c r="C36" i="12"/>
</calcChain>
</file>

<file path=xl/sharedStrings.xml><?xml version="1.0" encoding="utf-8"?>
<sst xmlns="http://schemas.openxmlformats.org/spreadsheetml/2006/main" count="1859" uniqueCount="46">
  <si>
    <t>1st Fortnight</t>
  </si>
  <si>
    <t>Name</t>
  </si>
  <si>
    <t>Project</t>
  </si>
  <si>
    <t>On-Board Date</t>
  </si>
  <si>
    <t>Approved (Max)
Hours</t>
  </si>
  <si>
    <t>Actual</t>
  </si>
  <si>
    <t>Vacation</t>
  </si>
  <si>
    <t>Working Days</t>
  </si>
  <si>
    <t>Billable Hours</t>
  </si>
  <si>
    <t>Actual Hours</t>
  </si>
  <si>
    <t>Offshore Hours</t>
  </si>
  <si>
    <t>Onshore Hours</t>
  </si>
  <si>
    <t>Legend</t>
  </si>
  <si>
    <t>Tapan Kumar Panda</t>
  </si>
  <si>
    <t>Proofpoint</t>
  </si>
  <si>
    <t>Holiday</t>
  </si>
  <si>
    <t>Suresh Narayanaswamy Gowda</t>
  </si>
  <si>
    <t>Sudheer Vajrapu</t>
  </si>
  <si>
    <t>Weekend</t>
  </si>
  <si>
    <t>Prameela Rendeddula</t>
  </si>
  <si>
    <t>Akshata CA</t>
  </si>
  <si>
    <t>Manohara CM</t>
  </si>
  <si>
    <t>2nd Fortnight</t>
  </si>
  <si>
    <t>Total Actual Hours for the Month</t>
  </si>
  <si>
    <t>Max Billable Hours / Month</t>
  </si>
  <si>
    <t>Final Billable Hours for the Month</t>
  </si>
  <si>
    <t>Notes</t>
  </si>
  <si>
    <t>Days</t>
  </si>
  <si>
    <t>Hours</t>
  </si>
  <si>
    <t>No of weekdays</t>
  </si>
  <si>
    <t>Offshore Holidays</t>
  </si>
  <si>
    <t>Offshore working days</t>
  </si>
  <si>
    <t>Max Hours</t>
  </si>
  <si>
    <t>Billable hrs</t>
  </si>
  <si>
    <t>Actual hrs</t>
  </si>
  <si>
    <t>Offshore hrs</t>
  </si>
  <si>
    <t>Onshore hrs</t>
  </si>
  <si>
    <t>Kuldeep Khandelwal</t>
  </si>
  <si>
    <t>billing_rate</t>
  </si>
  <si>
    <t>cost_rate</t>
  </si>
  <si>
    <t>Ramesh</t>
  </si>
  <si>
    <t>Suresh</t>
  </si>
  <si>
    <t>Ajay</t>
  </si>
  <si>
    <t>Vishal</t>
  </si>
  <si>
    <t>Raja</t>
  </si>
  <si>
    <t>Optium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</si>
</sst>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mmmm\-yyyy"/>
    <numFmt numFmtId="165" formatCode="[$-409]mmmm\-yy"/>
    <numFmt numFmtId="166" formatCode="m/d"/>
    <numFmt numFmtId="167" formatCode="0;\-0;"/>
  </numFmts>
  <fonts count="30">
    <font>
      <sz val="10"/>
      <color rgb="FF000000"/>
      <name val="Arial"/>
      <scheme val="minor"/>
    </font>
    <font>
      <b/>
      <sz val="12"/>
      <color rgb="FF000000"/>
      <name val="Trispace"/>
    </font>
    <font>
      <b/>
      <sz val="12"/>
      <color rgb="FF993300"/>
      <name val="Trispace"/>
    </font>
    <font>
      <b/>
      <sz val="12"/>
      <color theme="1"/>
      <name val="Trispace"/>
    </font>
    <font>
      <b/>
      <sz val="10"/>
      <color theme="1"/>
      <name val="Trispace"/>
    </font>
    <font>
      <sz val="10"/>
      <color theme="1"/>
      <name val="Trispace"/>
    </font>
    <font>
      <u/>
      <sz val="11"/>
      <color rgb="FF0000FF"/>
      <name val="Trispace"/>
    </font>
    <font>
      <sz val="10"/>
      <color theme="1"/>
      <name val="Arial"/>
      <family val="2"/>
    </font>
    <font>
      <b/>
      <u/>
      <sz val="10"/>
      <color theme="1"/>
      <name val="Trispace"/>
    </font>
    <font>
      <sz val="10"/>
      <name val="Arial"/>
      <family val="2"/>
    </font>
    <font>
      <sz val="10"/>
      <color rgb="FF000000"/>
      <name val="Trispace"/>
    </font>
    <font>
      <sz val="10"/>
      <color rgb="FFFF0000"/>
      <name val="Trispace"/>
    </font>
    <font>
      <sz val="10"/>
      <color rgb="FFFF0000"/>
      <name val="Arial"/>
      <family val="2"/>
    </font>
    <font>
      <b/>
      <sz val="10"/>
      <color rgb="FF000000"/>
      <name val="Trispace"/>
    </font>
    <font>
      <sz val="10"/>
      <color rgb="FF000000"/>
      <name val="Arial"/>
      <family val="2"/>
    </font>
    <font>
      <b/>
      <sz val="10"/>
      <color rgb="FFFFFFFF"/>
      <name val="Trispace"/>
    </font>
    <font>
      <b/>
      <i/>
      <sz val="10"/>
      <color theme="1"/>
      <name val="Trispace"/>
    </font>
    <font>
      <b/>
      <sz val="12"/>
      <color rgb="FF000000"/>
      <name val="Aptos"/>
    </font>
    <font>
      <b/>
      <sz val="12"/>
      <color rgb="FF993300"/>
      <name val="Aptos"/>
    </font>
    <font>
      <b/>
      <sz val="12"/>
      <color theme="1"/>
      <name val="Aptos"/>
    </font>
    <font>
      <b/>
      <sz val="10"/>
      <color theme="1"/>
      <name val="Aptos"/>
    </font>
    <font>
      <sz val="10"/>
      <color theme="1"/>
      <name val="Aptos"/>
    </font>
    <font>
      <u/>
      <sz val="11"/>
      <color rgb="FF0000FF"/>
      <name val="Aptos"/>
    </font>
    <font>
      <sz val="10"/>
      <color rgb="FF000000"/>
      <name val="Aptos"/>
    </font>
    <font>
      <b/>
      <u/>
      <sz val="10"/>
      <color theme="1"/>
      <name val="Aptos"/>
    </font>
    <font>
      <sz val="10"/>
      <name val="Aptos"/>
    </font>
    <font>
      <sz val="10"/>
      <color rgb="FFFF0000"/>
      <name val="Aptos"/>
    </font>
    <font>
      <b/>
      <sz val="10"/>
      <color rgb="FF000000"/>
      <name val="Aptos"/>
    </font>
    <font>
      <b/>
      <sz val="10"/>
      <color rgb="FFFFFFFF"/>
      <name val="Aptos"/>
    </font>
    <font>
      <b/>
      <i/>
      <sz val="10"/>
      <color theme="1"/>
      <name val="Aptos"/>
    </font>
  </fonts>
  <fills count="19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99CCFF"/>
        <bgColor rgb="FF99CCFF"/>
      </patternFill>
    </fill>
    <fill>
      <patternFill patternType="solid">
        <fgColor rgb="FFFFFF99"/>
        <bgColor rgb="FFFFFF99"/>
      </patternFill>
    </fill>
    <fill>
      <patternFill patternType="solid">
        <fgColor rgb="FFCCFFFF"/>
        <bgColor rgb="FFCCFFFF"/>
      </patternFill>
    </fill>
    <fill>
      <patternFill patternType="solid">
        <fgColor rgb="FF92D050"/>
        <bgColor rgb="FF92D050"/>
      </patternFill>
    </fill>
    <fill>
      <patternFill patternType="solid">
        <fgColor rgb="FFE5B8B7"/>
        <bgColor rgb="FFE5B8B7"/>
      </patternFill>
    </fill>
    <fill>
      <patternFill patternType="solid">
        <fgColor theme="8"/>
        <bgColor theme="8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4F81BD"/>
        <bgColor rgb="FF4F81BD"/>
      </patternFill>
    </fill>
    <fill>
      <patternFill patternType="solid">
        <fgColor rgb="FFFFC000"/>
        <bgColor rgb="FFFFC0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499984740745262"/>
        <bgColor indexed="64"/>
      </patternFill>
    </fill>
  </fills>
  <borders count="3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73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164" fontId="3" fillId="2" borderId="1" xfId="0" applyNumberFormat="1" applyFont="1" applyFill="1" applyBorder="1" applyAlignment="1">
      <alignment horizontal="center" vertical="top" wrapText="1"/>
    </xf>
    <xf numFmtId="165" fontId="4" fillId="2" borderId="1" xfId="0" applyNumberFormat="1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vertical="top"/>
    </xf>
    <xf numFmtId="0" fontId="6" fillId="2" borderId="1" xfId="0" applyFont="1" applyFill="1" applyBorder="1" applyAlignment="1">
      <alignment vertical="top"/>
    </xf>
    <xf numFmtId="0" fontId="5" fillId="2" borderId="1" xfId="0" applyFont="1" applyFill="1" applyBorder="1" applyAlignment="1">
      <alignment horizontal="left" vertical="top"/>
    </xf>
    <xf numFmtId="0" fontId="7" fillId="0" borderId="0" xfId="0" applyFont="1"/>
    <xf numFmtId="0" fontId="8" fillId="0" borderId="0" xfId="0" applyFont="1" applyAlignment="1">
      <alignment horizontal="left" wrapText="1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vertical="top" wrapText="1"/>
    </xf>
    <xf numFmtId="166" fontId="4" fillId="5" borderId="5" xfId="0" applyNumberFormat="1" applyFont="1" applyFill="1" applyBorder="1" applyAlignment="1">
      <alignment horizontal="center" vertical="center"/>
    </xf>
    <xf numFmtId="0" fontId="5" fillId="0" borderId="0" xfId="0" applyFont="1"/>
    <xf numFmtId="0" fontId="4" fillId="6" borderId="5" xfId="0" applyFont="1" applyFill="1" applyBorder="1" applyAlignment="1">
      <alignment horizontal="center" vertical="top" wrapText="1"/>
    </xf>
    <xf numFmtId="0" fontId="4" fillId="7" borderId="5" xfId="0" applyFont="1" applyFill="1" applyBorder="1" applyAlignment="1">
      <alignment horizontal="center" vertical="top" wrapText="1"/>
    </xf>
    <xf numFmtId="0" fontId="4" fillId="3" borderId="5" xfId="0" applyFont="1" applyFill="1" applyBorder="1" applyAlignment="1">
      <alignment horizontal="center" vertical="top" wrapText="1"/>
    </xf>
    <xf numFmtId="0" fontId="4" fillId="3" borderId="7" xfId="0" applyFont="1" applyFill="1" applyBorder="1" applyAlignment="1">
      <alignment horizontal="center" vertical="top" wrapText="1"/>
    </xf>
    <xf numFmtId="166" fontId="5" fillId="5" borderId="5" xfId="0" applyNumberFormat="1" applyFont="1" applyFill="1" applyBorder="1" applyAlignment="1">
      <alignment horizontal="center" vertical="center"/>
    </xf>
    <xf numFmtId="167" fontId="10" fillId="5" borderId="8" xfId="0" applyNumberFormat="1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11" fillId="0" borderId="0" xfId="0" applyFont="1"/>
    <xf numFmtId="0" fontId="12" fillId="0" borderId="0" xfId="0" applyFont="1"/>
    <xf numFmtId="0" fontId="10" fillId="0" borderId="8" xfId="0" applyFont="1" applyBorder="1" applyAlignment="1">
      <alignment vertical="center" wrapText="1"/>
    </xf>
    <xf numFmtId="0" fontId="10" fillId="0" borderId="8" xfId="0" applyFont="1" applyBorder="1" applyAlignment="1">
      <alignment horizontal="center" vertical="center" wrapText="1"/>
    </xf>
    <xf numFmtId="15" fontId="5" fillId="0" borderId="8" xfId="0" applyNumberFormat="1" applyFont="1" applyBorder="1" applyAlignment="1">
      <alignment horizontal="center" vertical="center"/>
    </xf>
    <xf numFmtId="167" fontId="4" fillId="0" borderId="8" xfId="0" applyNumberFormat="1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167" fontId="10" fillId="8" borderId="8" xfId="0" applyNumberFormat="1" applyFont="1" applyFill="1" applyBorder="1" applyAlignment="1">
      <alignment horizontal="center" vertical="center"/>
    </xf>
    <xf numFmtId="167" fontId="10" fillId="9" borderId="8" xfId="0" applyNumberFormat="1" applyFont="1" applyFill="1" applyBorder="1" applyAlignment="1">
      <alignment horizontal="center" vertical="center"/>
    </xf>
    <xf numFmtId="167" fontId="10" fillId="2" borderId="8" xfId="0" applyNumberFormat="1" applyFont="1" applyFill="1" applyBorder="1" applyAlignment="1">
      <alignment horizontal="center" vertical="center"/>
    </xf>
    <xf numFmtId="0" fontId="13" fillId="0" borderId="8" xfId="0" applyFont="1" applyBorder="1" applyAlignment="1">
      <alignment horizontal="center" vertical="center" wrapText="1"/>
    </xf>
    <xf numFmtId="0" fontId="5" fillId="8" borderId="10" xfId="0" applyFont="1" applyFill="1" applyBorder="1" applyAlignment="1">
      <alignment vertical="top"/>
    </xf>
    <xf numFmtId="0" fontId="14" fillId="0" borderId="0" xfId="0" applyFont="1"/>
    <xf numFmtId="0" fontId="10" fillId="0" borderId="0" xfId="0" applyFont="1"/>
    <xf numFmtId="167" fontId="10" fillId="10" borderId="8" xfId="0" applyNumberFormat="1" applyFont="1" applyFill="1" applyBorder="1" applyAlignment="1">
      <alignment horizontal="center" vertical="center"/>
    </xf>
    <xf numFmtId="15" fontId="10" fillId="0" borderId="8" xfId="0" applyNumberFormat="1" applyFont="1" applyBorder="1" applyAlignment="1">
      <alignment horizontal="center" vertical="center"/>
    </xf>
    <xf numFmtId="167" fontId="5" fillId="0" borderId="8" xfId="0" applyNumberFormat="1" applyFont="1" applyBorder="1" applyAlignment="1">
      <alignment horizontal="left" vertical="center"/>
    </xf>
    <xf numFmtId="167" fontId="5" fillId="0" borderId="8" xfId="0" applyNumberFormat="1" applyFont="1" applyBorder="1" applyAlignment="1">
      <alignment horizontal="center" vertical="center"/>
    </xf>
    <xf numFmtId="167" fontId="10" fillId="2" borderId="2" xfId="0" applyNumberFormat="1" applyFont="1" applyFill="1" applyBorder="1" applyAlignment="1">
      <alignment horizontal="center" vertical="center"/>
    </xf>
    <xf numFmtId="167" fontId="10" fillId="9" borderId="4" xfId="0" applyNumberFormat="1" applyFont="1" applyFill="1" applyBorder="1" applyAlignment="1">
      <alignment horizontal="center" vertical="center"/>
    </xf>
    <xf numFmtId="166" fontId="4" fillId="5" borderId="8" xfId="0" applyNumberFormat="1" applyFont="1" applyFill="1" applyBorder="1" applyAlignment="1">
      <alignment horizontal="center" vertical="center"/>
    </xf>
    <xf numFmtId="0" fontId="5" fillId="0" borderId="8" xfId="0" applyFont="1" applyBorder="1" applyAlignment="1">
      <alignment horizontal="left" vertical="center" wrapText="1"/>
    </xf>
    <xf numFmtId="0" fontId="5" fillId="9" borderId="5" xfId="0" applyFont="1" applyFill="1" applyBorder="1" applyAlignment="1">
      <alignment horizontal="center" vertical="center" wrapText="1"/>
    </xf>
    <xf numFmtId="167" fontId="5" fillId="2" borderId="8" xfId="0" applyNumberFormat="1" applyFont="1" applyFill="1" applyBorder="1" applyAlignment="1">
      <alignment horizontal="center" vertical="center"/>
    </xf>
    <xf numFmtId="167" fontId="5" fillId="9" borderId="8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15" fontId="5" fillId="0" borderId="0" xfId="0" applyNumberFormat="1" applyFont="1" applyAlignment="1">
      <alignment horizontal="center"/>
    </xf>
    <xf numFmtId="0" fontId="4" fillId="0" borderId="0" xfId="0" applyFont="1" applyAlignment="1">
      <alignment horizontal="center" vertical="top" wrapText="1"/>
    </xf>
    <xf numFmtId="1" fontId="4" fillId="0" borderId="0" xfId="0" applyNumberFormat="1" applyFont="1" applyAlignment="1">
      <alignment vertical="top" wrapText="1"/>
    </xf>
    <xf numFmtId="0" fontId="16" fillId="0" borderId="0" xfId="0" applyFont="1" applyAlignment="1">
      <alignment vertical="top" wrapText="1"/>
    </xf>
    <xf numFmtId="0" fontId="5" fillId="0" borderId="0" xfId="0" applyFont="1" applyAlignment="1">
      <alignment horizontal="left" vertical="top" wrapText="1"/>
    </xf>
    <xf numFmtId="0" fontId="4" fillId="12" borderId="11" xfId="0" applyFont="1" applyFill="1" applyBorder="1" applyAlignment="1">
      <alignment horizontal="center" vertical="center" wrapText="1"/>
    </xf>
    <xf numFmtId="0" fontId="4" fillId="12" borderId="12" xfId="0" applyFont="1" applyFill="1" applyBorder="1" applyAlignment="1">
      <alignment horizontal="center" vertical="center" wrapText="1"/>
    </xf>
    <xf numFmtId="0" fontId="4" fillId="12" borderId="13" xfId="0" applyFont="1" applyFill="1" applyBorder="1" applyAlignment="1">
      <alignment horizontal="center" vertical="center" wrapText="1"/>
    </xf>
    <xf numFmtId="0" fontId="10" fillId="0" borderId="14" xfId="0" applyFont="1" applyBorder="1" applyAlignment="1">
      <alignment vertical="center" wrapText="1"/>
    </xf>
    <xf numFmtId="167" fontId="13" fillId="0" borderId="8" xfId="0" applyNumberFormat="1" applyFont="1" applyBorder="1" applyAlignment="1">
      <alignment horizontal="center"/>
    </xf>
    <xf numFmtId="167" fontId="10" fillId="0" borderId="8" xfId="0" applyNumberFormat="1" applyFont="1" applyBorder="1" applyAlignment="1">
      <alignment horizontal="center"/>
    </xf>
    <xf numFmtId="167" fontId="13" fillId="6" borderId="15" xfId="0" applyNumberFormat="1" applyFont="1" applyFill="1" applyBorder="1" applyAlignment="1">
      <alignment horizontal="center"/>
    </xf>
    <xf numFmtId="0" fontId="10" fillId="0" borderId="14" xfId="0" applyFont="1" applyBorder="1" applyAlignment="1">
      <alignment horizontal="left" vertical="center" wrapText="1"/>
    </xf>
    <xf numFmtId="15" fontId="5" fillId="0" borderId="0" xfId="0" applyNumberFormat="1" applyFont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10" fillId="0" borderId="16" xfId="0" applyFont="1" applyBorder="1" applyAlignment="1">
      <alignment horizontal="left" vertical="center" wrapText="1"/>
    </xf>
    <xf numFmtId="167" fontId="13" fillId="0" borderId="17" xfId="0" applyNumberFormat="1" applyFont="1" applyBorder="1" applyAlignment="1">
      <alignment horizontal="center"/>
    </xf>
    <xf numFmtId="167" fontId="10" fillId="0" borderId="17" xfId="0" applyNumberFormat="1" applyFont="1" applyBorder="1" applyAlignment="1">
      <alignment horizontal="center"/>
    </xf>
    <xf numFmtId="167" fontId="13" fillId="6" borderId="18" xfId="0" applyNumberFormat="1" applyFont="1" applyFill="1" applyBorder="1" applyAlignment="1">
      <alignment horizontal="center"/>
    </xf>
    <xf numFmtId="167" fontId="5" fillId="0" borderId="16" xfId="0" applyNumberFormat="1" applyFont="1" applyBorder="1" applyAlignment="1">
      <alignment horizontal="left" vertical="center"/>
    </xf>
    <xf numFmtId="0" fontId="10" fillId="0" borderId="16" xfId="0" applyFont="1" applyBorder="1" applyAlignment="1">
      <alignment vertical="center" wrapText="1"/>
    </xf>
    <xf numFmtId="1" fontId="5" fillId="0" borderId="0" xfId="0" applyNumberFormat="1" applyFont="1" applyAlignment="1">
      <alignment vertical="top" wrapText="1"/>
    </xf>
    <xf numFmtId="0" fontId="4" fillId="3" borderId="14" xfId="0" applyFont="1" applyFill="1" applyBorder="1" applyAlignment="1">
      <alignment vertical="top" wrapText="1"/>
    </xf>
    <xf numFmtId="0" fontId="4" fillId="3" borderId="8" xfId="0" applyFont="1" applyFill="1" applyBorder="1" applyAlignment="1">
      <alignment horizontal="center" vertical="top" wrapText="1"/>
    </xf>
    <xf numFmtId="0" fontId="4" fillId="3" borderId="15" xfId="0" applyFont="1" applyFill="1" applyBorder="1" applyAlignment="1">
      <alignment horizontal="center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center" vertical="top" wrapText="1"/>
    </xf>
    <xf numFmtId="0" fontId="5" fillId="0" borderId="0" xfId="0" applyFont="1" applyAlignment="1">
      <alignment horizontal="left"/>
    </xf>
    <xf numFmtId="0" fontId="10" fillId="0" borderId="8" xfId="0" applyFont="1" applyBorder="1" applyAlignment="1">
      <alignment horizontal="center" vertical="top" wrapText="1"/>
    </xf>
    <xf numFmtId="0" fontId="5" fillId="0" borderId="15" xfId="0" applyFont="1" applyBorder="1" applyAlignment="1">
      <alignment horizontal="center" vertical="top" wrapText="1"/>
    </xf>
    <xf numFmtId="0" fontId="5" fillId="0" borderId="17" xfId="0" applyFont="1" applyBorder="1" applyAlignment="1">
      <alignment horizontal="center" vertical="top" wrapText="1"/>
    </xf>
    <xf numFmtId="0" fontId="5" fillId="0" borderId="18" xfId="0" applyFont="1" applyBorder="1" applyAlignment="1">
      <alignment horizontal="center" vertical="top" wrapText="1"/>
    </xf>
    <xf numFmtId="0" fontId="5" fillId="0" borderId="14" xfId="0" applyFont="1" applyBorder="1" applyAlignment="1">
      <alignment vertical="top" wrapText="1"/>
    </xf>
    <xf numFmtId="0" fontId="5" fillId="13" borderId="8" xfId="0" applyFont="1" applyFill="1" applyBorder="1" applyAlignment="1">
      <alignment horizontal="center" vertical="top" wrapText="1"/>
    </xf>
    <xf numFmtId="0" fontId="5" fillId="0" borderId="16" xfId="0" applyFont="1" applyBorder="1" applyAlignment="1">
      <alignment vertical="top" wrapText="1"/>
    </xf>
    <xf numFmtId="0" fontId="4" fillId="0" borderId="22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7" fillId="0" borderId="0" xfId="0" applyFont="1" applyAlignment="1">
      <alignment vertical="top" wrapText="1"/>
    </xf>
    <xf numFmtId="0" fontId="7" fillId="0" borderId="0" xfId="0" applyFont="1" applyAlignment="1">
      <alignment horizontal="left" vertical="top" wrapText="1"/>
    </xf>
    <xf numFmtId="14" fontId="7" fillId="0" borderId="0" xfId="0" applyNumberFormat="1" applyFont="1" applyAlignment="1">
      <alignment vertical="top" wrapText="1"/>
    </xf>
    <xf numFmtId="0" fontId="5" fillId="10" borderId="8" xfId="0" applyFont="1" applyFill="1" applyBorder="1"/>
    <xf numFmtId="166" fontId="4" fillId="9" borderId="8" xfId="0" applyNumberFormat="1" applyFont="1" applyFill="1" applyBorder="1" applyAlignment="1">
      <alignment horizontal="center" vertical="center"/>
    </xf>
    <xf numFmtId="167" fontId="5" fillId="8" borderId="8" xfId="0" applyNumberFormat="1" applyFont="1" applyFill="1" applyBorder="1" applyAlignment="1">
      <alignment horizontal="center" vertical="center"/>
    </xf>
    <xf numFmtId="0" fontId="10" fillId="0" borderId="24" xfId="0" applyFont="1" applyBorder="1" applyAlignment="1">
      <alignment horizontal="left" vertical="center" wrapText="1"/>
    </xf>
    <xf numFmtId="167" fontId="13" fillId="0" borderId="25" xfId="0" applyNumberFormat="1" applyFont="1" applyBorder="1" applyAlignment="1">
      <alignment horizontal="center"/>
    </xf>
    <xf numFmtId="167" fontId="10" fillId="0" borderId="25" xfId="0" applyNumberFormat="1" applyFont="1" applyBorder="1" applyAlignment="1">
      <alignment horizontal="center"/>
    </xf>
    <xf numFmtId="167" fontId="10" fillId="13" borderId="8" xfId="0" applyNumberFormat="1" applyFont="1" applyFill="1" applyBorder="1" applyAlignment="1">
      <alignment horizontal="center" vertical="center"/>
    </xf>
    <xf numFmtId="167" fontId="5" fillId="10" borderId="8" xfId="0" applyNumberFormat="1" applyFont="1" applyFill="1" applyBorder="1" applyAlignment="1">
      <alignment horizontal="center" vertical="center"/>
    </xf>
    <xf numFmtId="166" fontId="4" fillId="13" borderId="8" xfId="0" applyNumberFormat="1" applyFont="1" applyFill="1" applyBorder="1" applyAlignment="1">
      <alignment horizontal="center" vertical="center"/>
    </xf>
    <xf numFmtId="0" fontId="5" fillId="13" borderId="5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167" fontId="5" fillId="13" borderId="8" xfId="0" applyNumberFormat="1" applyFont="1" applyFill="1" applyBorder="1" applyAlignment="1">
      <alignment horizontal="center" vertical="center"/>
    </xf>
    <xf numFmtId="0" fontId="5" fillId="10" borderId="26" xfId="0" applyFont="1" applyFill="1" applyBorder="1"/>
    <xf numFmtId="167" fontId="10" fillId="9" borderId="2" xfId="0" applyNumberFormat="1" applyFont="1" applyFill="1" applyBorder="1" applyAlignment="1">
      <alignment horizontal="center" vertical="center"/>
    </xf>
    <xf numFmtId="167" fontId="5" fillId="0" borderId="25" xfId="0" applyNumberFormat="1" applyFont="1" applyBorder="1" applyAlignment="1">
      <alignment horizontal="center" vertical="center"/>
    </xf>
    <xf numFmtId="0" fontId="10" fillId="0" borderId="24" xfId="0" applyFont="1" applyBorder="1" applyAlignment="1">
      <alignment vertical="center" wrapText="1"/>
    </xf>
    <xf numFmtId="167" fontId="13" fillId="6" borderId="27" xfId="0" applyNumberFormat="1" applyFont="1" applyFill="1" applyBorder="1" applyAlignment="1">
      <alignment horizontal="center"/>
    </xf>
    <xf numFmtId="0" fontId="17" fillId="2" borderId="1" xfId="0" applyFont="1" applyFill="1" applyBorder="1" applyAlignment="1">
      <alignment vertical="center"/>
    </xf>
    <xf numFmtId="0" fontId="18" fillId="2" borderId="1" xfId="0" applyFont="1" applyFill="1" applyBorder="1" applyAlignment="1">
      <alignment vertical="center"/>
    </xf>
    <xf numFmtId="164" fontId="19" fillId="2" borderId="1" xfId="0" applyNumberFormat="1" applyFont="1" applyFill="1" applyBorder="1" applyAlignment="1">
      <alignment horizontal="center" vertical="top" wrapText="1"/>
    </xf>
    <xf numFmtId="165" fontId="20" fillId="2" borderId="1" xfId="0" applyNumberFormat="1" applyFont="1" applyFill="1" applyBorder="1" applyAlignment="1">
      <alignment horizontal="center" vertical="top" wrapText="1"/>
    </xf>
    <xf numFmtId="0" fontId="21" fillId="2" borderId="1" xfId="0" applyFont="1" applyFill="1" applyBorder="1" applyAlignment="1">
      <alignment vertical="top"/>
    </xf>
    <xf numFmtId="0" fontId="22" fillId="2" borderId="1" xfId="0" applyFont="1" applyFill="1" applyBorder="1" applyAlignment="1">
      <alignment vertical="top"/>
    </xf>
    <xf numFmtId="0" fontId="21" fillId="2" borderId="1" xfId="0" applyFont="1" applyFill="1" applyBorder="1" applyAlignment="1">
      <alignment horizontal="left" vertical="top"/>
    </xf>
    <xf numFmtId="0" fontId="21" fillId="0" borderId="0" xfId="0" applyFont="1"/>
    <xf numFmtId="0" fontId="23" fillId="0" borderId="0" xfId="0" applyFont="1"/>
    <xf numFmtId="0" fontId="24" fillId="0" borderId="0" xfId="0" applyFont="1" applyAlignment="1">
      <alignment horizontal="left" wrapText="1"/>
    </xf>
    <xf numFmtId="0" fontId="20" fillId="0" borderId="0" xfId="0" applyFont="1" applyAlignment="1">
      <alignment horizontal="left" wrapText="1"/>
    </xf>
    <xf numFmtId="0" fontId="20" fillId="0" borderId="0" xfId="0" applyFont="1" applyAlignment="1">
      <alignment vertical="top" wrapText="1"/>
    </xf>
    <xf numFmtId="0" fontId="20" fillId="0" borderId="0" xfId="0" applyFont="1" applyAlignment="1">
      <alignment horizontal="left" vertical="top" wrapText="1"/>
    </xf>
    <xf numFmtId="0" fontId="21" fillId="0" borderId="0" xfId="0" applyFont="1" applyAlignment="1">
      <alignment vertical="top" wrapText="1"/>
    </xf>
    <xf numFmtId="166" fontId="20" fillId="5" borderId="5" xfId="0" applyNumberFormat="1" applyFont="1" applyFill="1" applyBorder="1" applyAlignment="1">
      <alignment horizontal="center" vertical="center"/>
    </xf>
    <xf numFmtId="0" fontId="20" fillId="6" borderId="5" xfId="0" applyFont="1" applyFill="1" applyBorder="1" applyAlignment="1">
      <alignment horizontal="center" vertical="top" wrapText="1"/>
    </xf>
    <xf numFmtId="0" fontId="20" fillId="7" borderId="5" xfId="0" applyFont="1" applyFill="1" applyBorder="1" applyAlignment="1">
      <alignment horizontal="center" vertical="top" wrapText="1"/>
    </xf>
    <xf numFmtId="0" fontId="20" fillId="3" borderId="5" xfId="0" applyFont="1" applyFill="1" applyBorder="1" applyAlignment="1">
      <alignment horizontal="center" vertical="top" wrapText="1"/>
    </xf>
    <xf numFmtId="0" fontId="20" fillId="3" borderId="7" xfId="0" applyFont="1" applyFill="1" applyBorder="1" applyAlignment="1">
      <alignment horizontal="center" vertical="top" wrapText="1"/>
    </xf>
    <xf numFmtId="166" fontId="21" fillId="5" borderId="5" xfId="0" applyNumberFormat="1" applyFont="1" applyFill="1" applyBorder="1" applyAlignment="1">
      <alignment horizontal="center" vertical="center"/>
    </xf>
    <xf numFmtId="167" fontId="23" fillId="5" borderId="8" xfId="0" applyNumberFormat="1" applyFont="1" applyFill="1" applyBorder="1" applyAlignment="1">
      <alignment horizontal="center" vertical="center"/>
    </xf>
    <xf numFmtId="0" fontId="21" fillId="5" borderId="5" xfId="0" applyFont="1" applyFill="1" applyBorder="1" applyAlignment="1">
      <alignment horizontal="center" vertical="center" wrapText="1"/>
    </xf>
    <xf numFmtId="0" fontId="19" fillId="0" borderId="9" xfId="0" applyFont="1" applyBorder="1" applyAlignment="1">
      <alignment horizontal="center" vertical="center" wrapText="1"/>
    </xf>
    <xf numFmtId="0" fontId="26" fillId="0" borderId="0" xfId="0" applyFont="1"/>
    <xf numFmtId="0" fontId="23" fillId="0" borderId="8" xfId="0" applyFont="1" applyBorder="1" applyAlignment="1">
      <alignment vertical="center" wrapText="1"/>
    </xf>
    <xf numFmtId="0" fontId="23" fillId="0" borderId="8" xfId="0" applyFont="1" applyBorder="1" applyAlignment="1">
      <alignment horizontal="center" vertical="center" wrapText="1"/>
    </xf>
    <xf numFmtId="15" fontId="21" fillId="0" borderId="8" xfId="0" applyNumberFormat="1" applyFont="1" applyBorder="1" applyAlignment="1">
      <alignment horizontal="center" vertical="center"/>
    </xf>
    <xf numFmtId="167" fontId="20" fillId="0" borderId="8" xfId="0" applyNumberFormat="1" applyFont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0" fontId="27" fillId="0" borderId="8" xfId="0" applyFont="1" applyBorder="1" applyAlignment="1">
      <alignment horizontal="center" vertical="center" wrapText="1"/>
    </xf>
    <xf numFmtId="0" fontId="21" fillId="8" borderId="10" xfId="0" applyFont="1" applyFill="1" applyBorder="1" applyAlignment="1">
      <alignment vertical="top"/>
    </xf>
    <xf numFmtId="15" fontId="23" fillId="0" borderId="8" xfId="0" applyNumberFormat="1" applyFont="1" applyBorder="1" applyAlignment="1">
      <alignment horizontal="center" vertical="center"/>
    </xf>
    <xf numFmtId="167" fontId="21" fillId="0" borderId="8" xfId="0" applyNumberFormat="1" applyFont="1" applyBorder="1" applyAlignment="1">
      <alignment horizontal="left" vertical="center"/>
    </xf>
    <xf numFmtId="167" fontId="21" fillId="0" borderId="8" xfId="0" applyNumberFormat="1" applyFont="1" applyBorder="1" applyAlignment="1">
      <alignment horizontal="center" vertical="center"/>
    </xf>
    <xf numFmtId="166" fontId="20" fillId="5" borderId="8" xfId="0" applyNumberFormat="1" applyFont="1" applyFill="1" applyBorder="1" applyAlignment="1">
      <alignment horizontal="center" vertical="center"/>
    </xf>
    <xf numFmtId="0" fontId="21" fillId="0" borderId="8" xfId="0" applyFont="1" applyBorder="1" applyAlignment="1">
      <alignment horizontal="left" vertical="center" wrapText="1"/>
    </xf>
    <xf numFmtId="0" fontId="23" fillId="0" borderId="0" xfId="0" applyFont="1" applyAlignment="1">
      <alignment horizontal="center" vertical="center" wrapText="1"/>
    </xf>
    <xf numFmtId="15" fontId="21" fillId="0" borderId="0" xfId="0" applyNumberFormat="1" applyFont="1" applyAlignment="1">
      <alignment horizontal="center"/>
    </xf>
    <xf numFmtId="0" fontId="20" fillId="0" borderId="0" xfId="0" applyFont="1" applyAlignment="1">
      <alignment horizontal="center" vertical="top" wrapText="1"/>
    </xf>
    <xf numFmtId="1" fontId="20" fillId="0" borderId="0" xfId="0" applyNumberFormat="1" applyFont="1" applyAlignment="1">
      <alignment vertical="top" wrapText="1"/>
    </xf>
    <xf numFmtId="0" fontId="29" fillId="0" borderId="0" xfId="0" applyFont="1" applyAlignment="1">
      <alignment vertical="top" wrapText="1"/>
    </xf>
    <xf numFmtId="0" fontId="21" fillId="0" borderId="0" xfId="0" applyFont="1" applyAlignment="1">
      <alignment horizontal="left" vertical="top" wrapText="1"/>
    </xf>
    <xf numFmtId="0" fontId="20" fillId="12" borderId="11" xfId="0" applyFont="1" applyFill="1" applyBorder="1" applyAlignment="1">
      <alignment horizontal="center" vertical="center" wrapText="1"/>
    </xf>
    <xf numFmtId="0" fontId="20" fillId="12" borderId="12" xfId="0" applyFont="1" applyFill="1" applyBorder="1" applyAlignment="1">
      <alignment horizontal="center" vertical="center" wrapText="1"/>
    </xf>
    <xf numFmtId="0" fontId="20" fillId="12" borderId="13" xfId="0" applyFont="1" applyFill="1" applyBorder="1" applyAlignment="1">
      <alignment horizontal="center" vertical="center" wrapText="1"/>
    </xf>
    <xf numFmtId="0" fontId="23" fillId="0" borderId="14" xfId="0" applyFont="1" applyBorder="1" applyAlignment="1">
      <alignment vertical="center" wrapText="1"/>
    </xf>
    <xf numFmtId="167" fontId="27" fillId="0" borderId="8" xfId="0" applyNumberFormat="1" applyFont="1" applyBorder="1" applyAlignment="1">
      <alignment horizontal="center"/>
    </xf>
    <xf numFmtId="167" fontId="23" fillId="0" borderId="8" xfId="0" applyNumberFormat="1" applyFont="1" applyBorder="1" applyAlignment="1">
      <alignment horizontal="center"/>
    </xf>
    <xf numFmtId="167" fontId="27" fillId="6" borderId="15" xfId="0" applyNumberFormat="1" applyFont="1" applyFill="1" applyBorder="1" applyAlignment="1">
      <alignment horizontal="center"/>
    </xf>
    <xf numFmtId="0" fontId="23" fillId="0" borderId="14" xfId="0" applyFont="1" applyBorder="1" applyAlignment="1">
      <alignment horizontal="left" vertical="center" wrapText="1"/>
    </xf>
    <xf numFmtId="0" fontId="23" fillId="0" borderId="16" xfId="0" applyFont="1" applyBorder="1" applyAlignment="1">
      <alignment horizontal="left" vertical="center" wrapText="1"/>
    </xf>
    <xf numFmtId="167" fontId="27" fillId="0" borderId="17" xfId="0" applyNumberFormat="1" applyFont="1" applyBorder="1" applyAlignment="1">
      <alignment horizontal="center"/>
    </xf>
    <xf numFmtId="167" fontId="23" fillId="0" borderId="17" xfId="0" applyNumberFormat="1" applyFont="1" applyBorder="1" applyAlignment="1">
      <alignment horizontal="center"/>
    </xf>
    <xf numFmtId="167" fontId="27" fillId="6" borderId="18" xfId="0" applyNumberFormat="1" applyFont="1" applyFill="1" applyBorder="1" applyAlignment="1">
      <alignment horizontal="center"/>
    </xf>
    <xf numFmtId="167" fontId="21" fillId="0" borderId="16" xfId="0" applyNumberFormat="1" applyFont="1" applyBorder="1" applyAlignment="1">
      <alignment horizontal="left" vertical="center"/>
    </xf>
    <xf numFmtId="0" fontId="23" fillId="0" borderId="16" xfId="0" applyFont="1" applyBorder="1" applyAlignment="1">
      <alignment vertical="center" wrapText="1"/>
    </xf>
    <xf numFmtId="1" fontId="21" fillId="0" borderId="0" xfId="0" applyNumberFormat="1" applyFont="1" applyAlignment="1">
      <alignment vertical="top" wrapText="1"/>
    </xf>
    <xf numFmtId="0" fontId="20" fillId="3" borderId="14" xfId="0" applyFont="1" applyFill="1" applyBorder="1" applyAlignment="1">
      <alignment vertical="top" wrapText="1"/>
    </xf>
    <xf numFmtId="0" fontId="20" fillId="3" borderId="8" xfId="0" applyFont="1" applyFill="1" applyBorder="1" applyAlignment="1">
      <alignment horizontal="center" vertical="top" wrapText="1"/>
    </xf>
    <xf numFmtId="0" fontId="20" fillId="3" borderId="15" xfId="0" applyFont="1" applyFill="1" applyBorder="1" applyAlignment="1">
      <alignment horizontal="center" vertical="top" wrapText="1"/>
    </xf>
    <xf numFmtId="0" fontId="21" fillId="0" borderId="14" xfId="0" applyFont="1" applyBorder="1" applyAlignment="1">
      <alignment horizontal="left" vertical="top" wrapText="1"/>
    </xf>
    <xf numFmtId="0" fontId="21" fillId="0" borderId="8" xfId="0" applyFont="1" applyBorder="1" applyAlignment="1">
      <alignment horizontal="center" vertical="top" wrapText="1"/>
    </xf>
    <xf numFmtId="0" fontId="21" fillId="0" borderId="0" xfId="0" applyFont="1" applyAlignment="1">
      <alignment horizontal="left"/>
    </xf>
    <xf numFmtId="0" fontId="23" fillId="0" borderId="8" xfId="0" applyFont="1" applyBorder="1" applyAlignment="1">
      <alignment horizontal="center" vertical="top" wrapText="1"/>
    </xf>
    <xf numFmtId="0" fontId="21" fillId="0" borderId="15" xfId="0" applyFont="1" applyBorder="1" applyAlignment="1">
      <alignment horizontal="center" vertical="top" wrapText="1"/>
    </xf>
    <xf numFmtId="0" fontId="21" fillId="0" borderId="17" xfId="0" applyFont="1" applyBorder="1" applyAlignment="1">
      <alignment horizontal="center" vertical="top" wrapText="1"/>
    </xf>
    <xf numFmtId="0" fontId="21" fillId="0" borderId="18" xfId="0" applyFont="1" applyBorder="1" applyAlignment="1">
      <alignment horizontal="center" vertical="top" wrapText="1"/>
    </xf>
    <xf numFmtId="0" fontId="21" fillId="0" borderId="14" xfId="0" applyFont="1" applyBorder="1" applyAlignment="1">
      <alignment vertical="top" wrapText="1"/>
    </xf>
    <xf numFmtId="0" fontId="21" fillId="13" borderId="8" xfId="0" applyFont="1" applyFill="1" applyBorder="1" applyAlignment="1">
      <alignment horizontal="center" vertical="top" wrapText="1"/>
    </xf>
    <xf numFmtId="0" fontId="21" fillId="0" borderId="16" xfId="0" applyFont="1" applyBorder="1" applyAlignment="1">
      <alignment vertical="top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14" fontId="21" fillId="0" borderId="0" xfId="0" applyNumberFormat="1" applyFont="1" applyAlignment="1">
      <alignment vertical="top" wrapText="1"/>
    </xf>
    <xf numFmtId="167" fontId="23" fillId="14" borderId="8" xfId="0" applyNumberFormat="1" applyFont="1" applyFill="1" applyBorder="1" applyAlignment="1">
      <alignment horizontal="center" vertical="center"/>
    </xf>
    <xf numFmtId="167" fontId="23" fillId="14" borderId="2" xfId="0" applyNumberFormat="1" applyFont="1" applyFill="1" applyBorder="1" applyAlignment="1">
      <alignment horizontal="center" vertical="center"/>
    </xf>
    <xf numFmtId="167" fontId="23" fillId="14" borderId="4" xfId="0" applyNumberFormat="1" applyFont="1" applyFill="1" applyBorder="1" applyAlignment="1">
      <alignment horizontal="center" vertical="center"/>
    </xf>
    <xf numFmtId="167" fontId="21" fillId="14" borderId="8" xfId="0" applyNumberFormat="1" applyFont="1" applyFill="1" applyBorder="1" applyAlignment="1">
      <alignment horizontal="center" vertical="center"/>
    </xf>
    <xf numFmtId="0" fontId="21" fillId="10" borderId="26" xfId="0" applyFont="1" applyFill="1" applyBorder="1"/>
    <xf numFmtId="167" fontId="23" fillId="15" borderId="8" xfId="0" applyNumberFormat="1" applyFont="1" applyFill="1" applyBorder="1" applyAlignment="1">
      <alignment horizontal="center" vertical="center"/>
    </xf>
    <xf numFmtId="167" fontId="23" fillId="16" borderId="8" xfId="0" applyNumberFormat="1" applyFont="1" applyFill="1" applyBorder="1" applyAlignment="1">
      <alignment horizontal="center" vertical="center"/>
    </xf>
    <xf numFmtId="167" fontId="23" fillId="14" borderId="5" xfId="0" applyNumberFormat="1" applyFont="1" applyFill="1" applyBorder="1" applyAlignment="1">
      <alignment horizontal="center" vertical="center"/>
    </xf>
    <xf numFmtId="0" fontId="28" fillId="11" borderId="25" xfId="0" applyFont="1" applyFill="1" applyBorder="1" applyAlignment="1">
      <alignment vertical="top" wrapText="1"/>
    </xf>
    <xf numFmtId="167" fontId="28" fillId="11" borderId="25" xfId="0" applyNumberFormat="1" applyFont="1" applyFill="1" applyBorder="1" applyAlignment="1">
      <alignment horizontal="center" vertical="center" wrapText="1"/>
    </xf>
    <xf numFmtId="0" fontId="28" fillId="11" borderId="25" xfId="0" applyFont="1" applyFill="1" applyBorder="1" applyAlignment="1">
      <alignment horizontal="center" vertical="center" wrapText="1"/>
    </xf>
    <xf numFmtId="15" fontId="28" fillId="11" borderId="25" xfId="0" applyNumberFormat="1" applyFont="1" applyFill="1" applyBorder="1" applyAlignment="1">
      <alignment horizontal="center"/>
    </xf>
    <xf numFmtId="167" fontId="10" fillId="2" borderId="5" xfId="0" applyNumberFormat="1" applyFont="1" applyFill="1" applyBorder="1" applyAlignment="1">
      <alignment horizontal="center" vertical="center"/>
    </xf>
    <xf numFmtId="0" fontId="15" fillId="11" borderId="25" xfId="0" applyFont="1" applyFill="1" applyBorder="1" applyAlignment="1">
      <alignment vertical="top" wrapText="1"/>
    </xf>
    <xf numFmtId="167" fontId="15" fillId="11" borderId="25" xfId="0" applyNumberFormat="1" applyFont="1" applyFill="1" applyBorder="1" applyAlignment="1">
      <alignment horizontal="center" vertical="center" wrapText="1"/>
    </xf>
    <xf numFmtId="0" fontId="15" fillId="11" borderId="25" xfId="0" applyFont="1" applyFill="1" applyBorder="1" applyAlignment="1">
      <alignment horizontal="center" vertical="center" wrapText="1"/>
    </xf>
    <xf numFmtId="15" fontId="15" fillId="11" borderId="25" xfId="0" applyNumberFormat="1" applyFont="1" applyFill="1" applyBorder="1" applyAlignment="1">
      <alignment horizontal="center"/>
    </xf>
    <xf numFmtId="167" fontId="10" fillId="10" borderId="5" xfId="0" applyNumberFormat="1" applyFont="1" applyFill="1" applyBorder="1" applyAlignment="1">
      <alignment horizontal="center" vertical="center"/>
    </xf>
    <xf numFmtId="167" fontId="10" fillId="9" borderId="5" xfId="0" applyNumberFormat="1" applyFont="1" applyFill="1" applyBorder="1" applyAlignment="1">
      <alignment horizontal="center" vertical="center"/>
    </xf>
    <xf numFmtId="167" fontId="23" fillId="17" borderId="8" xfId="0" applyNumberFormat="1" applyFont="1" applyFill="1" applyBorder="1" applyAlignment="1">
      <alignment horizontal="center" vertical="center"/>
    </xf>
    <xf numFmtId="167" fontId="21" fillId="17" borderId="8" xfId="0" applyNumberFormat="1" applyFont="1" applyFill="1" applyBorder="1" applyAlignment="1">
      <alignment horizontal="center" vertical="center"/>
    </xf>
    <xf numFmtId="0" fontId="21" fillId="17" borderId="5" xfId="0" applyFont="1" applyFill="1" applyBorder="1" applyAlignment="1">
      <alignment horizontal="center" vertical="center" wrapText="1"/>
    </xf>
    <xf numFmtId="0" fontId="21" fillId="17" borderId="10" xfId="0" applyFont="1" applyFill="1" applyBorder="1" applyAlignment="1">
      <alignment vertical="top"/>
    </xf>
    <xf numFmtId="0" fontId="21" fillId="14" borderId="5" xfId="0" applyFont="1" applyFill="1" applyBorder="1" applyAlignment="1">
      <alignment horizontal="center" vertical="center" wrapText="1"/>
    </xf>
    <xf numFmtId="167" fontId="23" fillId="17" borderId="5" xfId="0" applyNumberFormat="1" applyFont="1" applyFill="1" applyBorder="1" applyAlignment="1">
      <alignment horizontal="center" vertical="center"/>
    </xf>
    <xf numFmtId="167" fontId="23" fillId="17" borderId="4" xfId="0" applyNumberFormat="1" applyFont="1" applyFill="1" applyBorder="1" applyAlignment="1">
      <alignment horizontal="center" vertical="center"/>
    </xf>
    <xf numFmtId="167" fontId="23" fillId="17" borderId="2" xfId="0" applyNumberFormat="1" applyFont="1" applyFill="1" applyBorder="1" applyAlignment="1">
      <alignment horizontal="center" vertical="center"/>
    </xf>
    <xf numFmtId="167" fontId="23" fillId="0" borderId="8" xfId="0" applyNumberFormat="1" applyFont="1" applyBorder="1" applyAlignment="1">
      <alignment horizontal="center" vertical="center"/>
    </xf>
    <xf numFmtId="167" fontId="23" fillId="0" borderId="2" xfId="0" applyNumberFormat="1" applyFont="1" applyBorder="1" applyAlignment="1">
      <alignment horizontal="center" vertical="center"/>
    </xf>
    <xf numFmtId="0" fontId="21" fillId="0" borderId="1" xfId="0" applyFont="1" applyBorder="1" applyAlignment="1">
      <alignment vertical="top" wrapText="1"/>
    </xf>
    <xf numFmtId="0" fontId="21" fillId="0" borderId="1" xfId="0" applyFont="1" applyBorder="1"/>
    <xf numFmtId="0" fontId="23" fillId="0" borderId="24" xfId="0" applyFont="1" applyBorder="1" applyAlignment="1">
      <alignment vertical="center" wrapText="1"/>
    </xf>
    <xf numFmtId="167" fontId="27" fillId="0" borderId="25" xfId="0" applyNumberFormat="1" applyFont="1" applyBorder="1" applyAlignment="1">
      <alignment horizontal="center"/>
    </xf>
    <xf numFmtId="167" fontId="23" fillId="0" borderId="25" xfId="0" applyNumberFormat="1" applyFont="1" applyBorder="1" applyAlignment="1">
      <alignment horizontal="center"/>
    </xf>
    <xf numFmtId="167" fontId="27" fillId="6" borderId="27" xfId="0" applyNumberFormat="1" applyFont="1" applyFill="1" applyBorder="1" applyAlignment="1">
      <alignment horizontal="center"/>
    </xf>
    <xf numFmtId="0" fontId="23" fillId="0" borderId="28" xfId="0" applyFont="1" applyBorder="1" applyAlignment="1">
      <alignment horizontal="left" vertical="center" wrapText="1"/>
    </xf>
    <xf numFmtId="167" fontId="27" fillId="0" borderId="5" xfId="0" applyNumberFormat="1" applyFont="1" applyBorder="1" applyAlignment="1">
      <alignment horizontal="center"/>
    </xf>
    <xf numFmtId="167" fontId="23" fillId="0" borderId="5" xfId="0" applyNumberFormat="1" applyFont="1" applyBorder="1" applyAlignment="1">
      <alignment horizontal="center"/>
    </xf>
    <xf numFmtId="167" fontId="27" fillId="6" borderId="29" xfId="0" applyNumberFormat="1" applyFont="1" applyFill="1" applyBorder="1" applyAlignment="1">
      <alignment horizontal="center"/>
    </xf>
    <xf numFmtId="0" fontId="20" fillId="6" borderId="8" xfId="0" applyFont="1" applyFill="1" applyBorder="1" applyAlignment="1">
      <alignment horizontal="center" vertical="top" wrapText="1"/>
    </xf>
    <xf numFmtId="0" fontId="20" fillId="7" borderId="8" xfId="0" applyFont="1" applyFill="1" applyBorder="1" applyAlignment="1">
      <alignment horizontal="center" vertical="top" wrapText="1"/>
    </xf>
    <xf numFmtId="166" fontId="21" fillId="5" borderId="8" xfId="0" applyNumberFormat="1" applyFont="1" applyFill="1" applyBorder="1" applyAlignment="1">
      <alignment horizontal="center" vertical="center"/>
    </xf>
    <xf numFmtId="0" fontId="21" fillId="5" borderId="8" xfId="0" applyFont="1" applyFill="1" applyBorder="1" applyAlignment="1">
      <alignment horizontal="center" vertical="center" wrapText="1"/>
    </xf>
    <xf numFmtId="0" fontId="28" fillId="11" borderId="8" xfId="0" applyFont="1" applyFill="1" applyBorder="1" applyAlignment="1">
      <alignment vertical="top" wrapText="1"/>
    </xf>
    <xf numFmtId="167" fontId="28" fillId="11" borderId="8" xfId="0" applyNumberFormat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left" wrapText="1"/>
    </xf>
    <xf numFmtId="0" fontId="20" fillId="0" borderId="1" xfId="0" applyFont="1" applyBorder="1" applyAlignment="1">
      <alignment horizontal="left" wrapText="1"/>
    </xf>
    <xf numFmtId="0" fontId="20" fillId="0" borderId="1" xfId="0" applyFont="1" applyBorder="1" applyAlignment="1">
      <alignment vertical="top" wrapText="1"/>
    </xf>
    <xf numFmtId="0" fontId="28" fillId="11" borderId="8" xfId="0" applyFont="1" applyFill="1" applyBorder="1" applyAlignment="1">
      <alignment horizontal="center" vertical="center" wrapText="1"/>
    </xf>
    <xf numFmtId="15" fontId="28" fillId="11" borderId="8" xfId="0" applyNumberFormat="1" applyFont="1" applyFill="1" applyBorder="1" applyAlignment="1">
      <alignment horizontal="center"/>
    </xf>
    <xf numFmtId="0" fontId="23" fillId="0" borderId="1" xfId="0" applyFont="1" applyBorder="1" applyAlignment="1">
      <alignment horizontal="center" vertical="center" wrapText="1"/>
    </xf>
    <xf numFmtId="15" fontId="21" fillId="0" borderId="1" xfId="0" applyNumberFormat="1" applyFont="1" applyBorder="1" applyAlignment="1">
      <alignment horizontal="center"/>
    </xf>
    <xf numFmtId="0" fontId="20" fillId="0" borderId="1" xfId="0" applyFont="1" applyBorder="1" applyAlignment="1">
      <alignment horizontal="center" vertical="top" wrapText="1"/>
    </xf>
    <xf numFmtId="1" fontId="20" fillId="0" borderId="1" xfId="0" applyNumberFormat="1" applyFont="1" applyBorder="1" applyAlignment="1">
      <alignment vertical="top" wrapText="1"/>
    </xf>
    <xf numFmtId="0" fontId="29" fillId="0" borderId="1" xfId="0" applyFont="1" applyBorder="1" applyAlignment="1">
      <alignment vertical="top" wrapText="1"/>
    </xf>
    <xf numFmtId="167" fontId="21" fillId="15" borderId="8" xfId="0" applyNumberFormat="1" applyFont="1" applyFill="1" applyBorder="1" applyAlignment="1">
      <alignment horizontal="center" vertical="center"/>
    </xf>
    <xf numFmtId="167" fontId="21" fillId="16" borderId="8" xfId="0" applyNumberFormat="1" applyFont="1" applyFill="1" applyBorder="1" applyAlignment="1">
      <alignment horizontal="center" vertical="center"/>
    </xf>
    <xf numFmtId="0" fontId="21" fillId="10" borderId="30" xfId="0" applyFont="1" applyFill="1" applyBorder="1"/>
    <xf numFmtId="0" fontId="26" fillId="0" borderId="1" xfId="0" applyFont="1" applyBorder="1"/>
    <xf numFmtId="0" fontId="21" fillId="8" borderId="31" xfId="0" applyFont="1" applyFill="1" applyBorder="1" applyAlignment="1">
      <alignment vertical="top"/>
    </xf>
    <xf numFmtId="0" fontId="19" fillId="0" borderId="32" xfId="0" applyFont="1" applyBorder="1" applyAlignment="1">
      <alignment horizontal="center" vertical="center" wrapText="1"/>
    </xf>
    <xf numFmtId="167" fontId="21" fillId="14" borderId="2" xfId="0" applyNumberFormat="1" applyFont="1" applyFill="1" applyBorder="1" applyAlignment="1">
      <alignment horizontal="center" vertical="center"/>
    </xf>
    <xf numFmtId="167" fontId="21" fillId="17" borderId="4" xfId="0" applyNumberFormat="1" applyFont="1" applyFill="1" applyBorder="1" applyAlignment="1">
      <alignment horizontal="center" vertical="center"/>
    </xf>
    <xf numFmtId="167" fontId="21" fillId="14" borderId="5" xfId="0" applyNumberFormat="1" applyFont="1" applyFill="1" applyBorder="1" applyAlignment="1">
      <alignment horizontal="center" vertical="center"/>
    </xf>
    <xf numFmtId="167" fontId="21" fillId="14" borderId="25" xfId="0" applyNumberFormat="1" applyFont="1" applyFill="1" applyBorder="1" applyAlignment="1">
      <alignment horizontal="center" vertical="center"/>
    </xf>
    <xf numFmtId="167" fontId="21" fillId="18" borderId="8" xfId="0" applyNumberFormat="1" applyFont="1" applyFill="1" applyBorder="1" applyAlignment="1">
      <alignment horizontal="center" vertical="center"/>
    </xf>
    <xf numFmtId="167" fontId="21" fillId="18" borderId="4" xfId="0" applyNumberFormat="1" applyFont="1" applyFill="1" applyBorder="1" applyAlignment="1">
      <alignment horizontal="center" vertical="center"/>
    </xf>
    <xf numFmtId="167" fontId="23" fillId="18" borderId="8" xfId="0" applyNumberFormat="1" applyFont="1" applyFill="1" applyBorder="1" applyAlignment="1">
      <alignment horizontal="center" vertical="center"/>
    </xf>
    <xf numFmtId="0" fontId="20" fillId="12" borderId="34" xfId="0" applyFont="1" applyFill="1" applyBorder="1" applyAlignment="1">
      <alignment horizontal="center" vertical="center" wrapText="1"/>
    </xf>
    <xf numFmtId="167" fontId="27" fillId="6" borderId="2" xfId="0" applyNumberFormat="1" applyFont="1" applyFill="1" applyBorder="1" applyAlignment="1">
      <alignment horizontal="center"/>
    </xf>
    <xf numFmtId="167" fontId="27" fillId="6" borderId="7" xfId="0" applyNumberFormat="1" applyFont="1" applyFill="1" applyBorder="1" applyAlignment="1">
      <alignment horizontal="center"/>
    </xf>
    <xf numFmtId="167" fontId="27" fillId="6" borderId="35" xfId="0" applyNumberFormat="1" applyFont="1" applyFill="1" applyBorder="1" applyAlignment="1">
      <alignment horizontal="center"/>
    </xf>
    <xf numFmtId="0" fontId="21" fillId="0" borderId="33" xfId="0" applyFont="1" applyBorder="1"/>
    <xf numFmtId="0" fontId="21" fillId="0" borderId="33" xfId="0" applyFont="1" applyBorder="1" applyAlignment="1">
      <alignment vertical="top" wrapText="1"/>
    </xf>
    <xf numFmtId="0" fontId="20" fillId="3" borderId="8" xfId="0" applyFont="1" applyFill="1" applyBorder="1" applyAlignment="1">
      <alignment horizontal="center" vertical="center" wrapText="1"/>
    </xf>
    <xf numFmtId="0" fontId="25" fillId="0" borderId="8" xfId="0" applyFont="1" applyBorder="1"/>
    <xf numFmtId="0" fontId="20" fillId="0" borderId="19" xfId="0" applyFont="1" applyBorder="1" applyAlignment="1">
      <alignment horizontal="left" vertical="top" wrapText="1"/>
    </xf>
    <xf numFmtId="0" fontId="25" fillId="0" borderId="20" xfId="0" applyFont="1" applyBorder="1"/>
    <xf numFmtId="0" fontId="25" fillId="0" borderId="21" xfId="0" applyFont="1" applyBorder="1"/>
    <xf numFmtId="0" fontId="20" fillId="4" borderId="8" xfId="0" applyFont="1" applyFill="1" applyBorder="1" applyAlignment="1">
      <alignment horizontal="center" vertical="center" wrapText="1"/>
    </xf>
    <xf numFmtId="0" fontId="20" fillId="3" borderId="5" xfId="0" applyFont="1" applyFill="1" applyBorder="1" applyAlignment="1">
      <alignment horizontal="center" vertical="center" wrapText="1"/>
    </xf>
    <xf numFmtId="0" fontId="25" fillId="0" borderId="6" xfId="0" applyFont="1" applyBorder="1"/>
    <xf numFmtId="0" fontId="20" fillId="4" borderId="2" xfId="0" applyFont="1" applyFill="1" applyBorder="1" applyAlignment="1">
      <alignment horizontal="center" vertical="center" wrapText="1"/>
    </xf>
    <xf numFmtId="0" fontId="25" fillId="0" borderId="3" xfId="0" applyFont="1" applyBorder="1"/>
    <xf numFmtId="0" fontId="25" fillId="0" borderId="4" xfId="0" applyFont="1" applyBorder="1"/>
    <xf numFmtId="0" fontId="4" fillId="3" borderId="5" xfId="0" applyFont="1" applyFill="1" applyBorder="1" applyAlignment="1">
      <alignment horizontal="center" vertical="center" wrapText="1"/>
    </xf>
    <xf numFmtId="0" fontId="9" fillId="0" borderId="6" xfId="0" applyFont="1" applyBorder="1"/>
    <xf numFmtId="0" fontId="4" fillId="0" borderId="19" xfId="0" applyFont="1" applyBorder="1" applyAlignment="1">
      <alignment horizontal="left" vertical="top" wrapText="1"/>
    </xf>
    <xf numFmtId="0" fontId="9" fillId="0" borderId="20" xfId="0" applyFont="1" applyBorder="1"/>
    <xf numFmtId="0" fontId="9" fillId="0" borderId="21" xfId="0" applyFont="1" applyBorder="1"/>
    <xf numFmtId="0" fontId="4" fillId="4" borderId="2" xfId="0" applyFont="1" applyFill="1" applyBorder="1" applyAlignment="1">
      <alignment horizontal="center" vertical="center" wrapText="1"/>
    </xf>
    <xf numFmtId="0" fontId="9" fillId="0" borderId="3" xfId="0" applyFont="1" applyBorder="1"/>
    <xf numFmtId="0" fontId="9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48C35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70C44-34AE-449A-BC8F-B6ADA3E1EE45}">
  <sheetPr>
    <tabColor rgb="FFFFFF00"/>
  </sheetPr>
  <dimension ref="A1:AI997"/>
  <sheetViews>
    <sheetView showGridLines="0" workbookViewId="0">
      <pane xSplit="2" topLeftCell="C1" activePane="topRight" state="frozen"/>
      <selection pane="topRight"/>
    </sheetView>
  </sheetViews>
  <sheetFormatPr baseColWidth="10" defaultColWidth="12.5" defaultRowHeight="15.75" customHeight="1"/>
  <cols>
    <col min="1" max="1" width="28.1640625" style="115" customWidth="1"/>
    <col min="2" max="2" width="11.83203125" style="115" customWidth="1"/>
    <col min="3" max="3" width="17" style="115" customWidth="1"/>
    <col min="4" max="4" width="10.5" style="115" customWidth="1"/>
    <col min="5" max="5" width="8.5" style="115" customWidth="1"/>
    <col min="6" max="6" width="7.5" style="115" customWidth="1"/>
    <col min="7" max="7" width="9.5" style="115" customWidth="1"/>
    <col min="8" max="8" width="9" style="115" customWidth="1"/>
    <col min="9" max="9" width="6.83203125" style="115" customWidth="1"/>
    <col min="10" max="11" width="6.5" style="115" customWidth="1"/>
    <col min="12" max="12" width="5.83203125" style="115" customWidth="1"/>
    <col min="13" max="14" width="6.5" style="115" customWidth="1"/>
    <col min="15" max="15" width="6.1640625" style="115" customWidth="1"/>
    <col min="16" max="16" width="6.33203125" style="115" customWidth="1"/>
    <col min="17" max="20" width="6.5" style="115" customWidth="1"/>
    <col min="21" max="21" width="6.6640625" style="115" customWidth="1"/>
    <col min="22" max="22" width="6.33203125" style="115" customWidth="1"/>
    <col min="23" max="23" width="6.5" style="115" customWidth="1"/>
    <col min="24" max="24" width="9.33203125" style="115" customWidth="1"/>
    <col min="25" max="25" width="9.5" style="115" customWidth="1"/>
    <col min="26" max="26" width="9.33203125" style="115" customWidth="1"/>
    <col min="27" max="27" width="8.6640625" style="115" customWidth="1"/>
    <col min="28" max="28" width="15.33203125" style="115" customWidth="1"/>
    <col min="29" max="29" width="14" style="115" customWidth="1"/>
    <col min="30" max="30" width="7.5" style="115" customWidth="1"/>
    <col min="31" max="31" width="17.6640625" style="115" customWidth="1"/>
    <col min="32" max="35" width="7.5" style="115" customWidth="1"/>
    <col min="36" max="16384" width="12.5" style="115"/>
  </cols>
  <sheetData>
    <row r="1" spans="1:35" ht="15.75" customHeight="1">
      <c r="A1" s="107"/>
      <c r="B1" s="108"/>
      <c r="C1" s="109">
        <v>45809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116" t="s">
        <v>0</v>
      </c>
      <c r="B2" s="117"/>
      <c r="C2" s="117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9"/>
      <c r="AB2" s="120"/>
      <c r="AC2" s="114"/>
    </row>
    <row r="3" spans="1:35" ht="35.25" customHeight="1">
      <c r="A3" s="260" t="s">
        <v>1</v>
      </c>
      <c r="B3" s="260" t="s">
        <v>2</v>
      </c>
      <c r="C3" s="260" t="s">
        <v>3</v>
      </c>
      <c r="D3" s="260" t="s">
        <v>4</v>
      </c>
      <c r="E3" s="262" t="s">
        <v>5</v>
      </c>
      <c r="F3" s="263"/>
      <c r="G3" s="263"/>
      <c r="H3" s="264"/>
      <c r="I3" s="121">
        <f>C1</f>
        <v>45809</v>
      </c>
      <c r="J3" s="121">
        <f t="shared" ref="J3:W3" si="0">I3+1</f>
        <v>45810</v>
      </c>
      <c r="K3" s="121">
        <f t="shared" si="0"/>
        <v>45811</v>
      </c>
      <c r="L3" s="121">
        <f t="shared" si="0"/>
        <v>45812</v>
      </c>
      <c r="M3" s="121">
        <f t="shared" si="0"/>
        <v>45813</v>
      </c>
      <c r="N3" s="121">
        <f t="shared" si="0"/>
        <v>45814</v>
      </c>
      <c r="O3" s="121">
        <f t="shared" si="0"/>
        <v>45815</v>
      </c>
      <c r="P3" s="121">
        <f t="shared" si="0"/>
        <v>45816</v>
      </c>
      <c r="Q3" s="121">
        <f t="shared" si="0"/>
        <v>45817</v>
      </c>
      <c r="R3" s="121">
        <f t="shared" si="0"/>
        <v>45818</v>
      </c>
      <c r="S3" s="121">
        <f t="shared" si="0"/>
        <v>45819</v>
      </c>
      <c r="T3" s="121">
        <f t="shared" si="0"/>
        <v>45820</v>
      </c>
      <c r="U3" s="121">
        <f t="shared" si="0"/>
        <v>45821</v>
      </c>
      <c r="V3" s="121">
        <f t="shared" si="0"/>
        <v>45822</v>
      </c>
      <c r="W3" s="121">
        <f t="shared" si="0"/>
        <v>45823</v>
      </c>
      <c r="X3" s="260" t="s">
        <v>6</v>
      </c>
      <c r="Y3" s="260" t="s">
        <v>7</v>
      </c>
      <c r="Z3" s="120"/>
      <c r="AA3" s="114"/>
      <c r="AB3" s="114"/>
    </row>
    <row r="4" spans="1:35" ht="27" customHeight="1">
      <c r="A4" s="261"/>
      <c r="B4" s="261"/>
      <c r="C4" s="261"/>
      <c r="D4" s="261"/>
      <c r="E4" s="122" t="s">
        <v>8</v>
      </c>
      <c r="F4" s="123" t="s">
        <v>9</v>
      </c>
      <c r="G4" s="124" t="s">
        <v>10</v>
      </c>
      <c r="H4" s="125" t="s">
        <v>11</v>
      </c>
      <c r="I4" s="126" t="str">
        <f t="shared" ref="I4:W4" si="1">IF(I3="","",TEXT(WEEKDAY(I3), "ddd"))</f>
        <v>Sun</v>
      </c>
      <c r="J4" s="127" t="str">
        <f t="shared" si="1"/>
        <v>Mon</v>
      </c>
      <c r="K4" s="127" t="str">
        <f t="shared" si="1"/>
        <v>Tue</v>
      </c>
      <c r="L4" s="128" t="str">
        <f t="shared" si="1"/>
        <v>Wed</v>
      </c>
      <c r="M4" s="128" t="str">
        <f t="shared" si="1"/>
        <v>Thu</v>
      </c>
      <c r="N4" s="126" t="str">
        <f t="shared" si="1"/>
        <v>Fri</v>
      </c>
      <c r="O4" s="126" t="str">
        <f t="shared" si="1"/>
        <v>Sat</v>
      </c>
      <c r="P4" s="128" t="str">
        <f t="shared" si="1"/>
        <v>Sun</v>
      </c>
      <c r="Q4" s="128" t="str">
        <f t="shared" si="1"/>
        <v>Mon</v>
      </c>
      <c r="R4" s="128" t="str">
        <f t="shared" si="1"/>
        <v>Tue</v>
      </c>
      <c r="S4" s="128" t="str">
        <f t="shared" si="1"/>
        <v>Wed</v>
      </c>
      <c r="T4" s="128" t="str">
        <f t="shared" si="1"/>
        <v>Thu</v>
      </c>
      <c r="U4" s="128" t="str">
        <f t="shared" si="1"/>
        <v>Fri</v>
      </c>
      <c r="V4" s="128" t="str">
        <f t="shared" si="1"/>
        <v>Sat</v>
      </c>
      <c r="W4" s="128" t="str">
        <f t="shared" si="1"/>
        <v>Sun</v>
      </c>
      <c r="X4" s="261"/>
      <c r="Y4" s="261"/>
      <c r="Z4" s="120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72</v>
      </c>
      <c r="G5" s="134">
        <f t="shared" ref="G5:G10" si="5">SUM(I5:W5)</f>
        <v>72</v>
      </c>
      <c r="H5" s="135">
        <v>0</v>
      </c>
      <c r="I5" s="199"/>
      <c r="J5" s="180">
        <v>8</v>
      </c>
      <c r="K5" s="207">
        <v>8</v>
      </c>
      <c r="L5" s="186"/>
      <c r="M5" s="180">
        <v>8</v>
      </c>
      <c r="N5" s="180">
        <v>8</v>
      </c>
      <c r="O5" s="199"/>
      <c r="P5" s="199"/>
      <c r="Q5" s="180">
        <v>8</v>
      </c>
      <c r="R5" s="207">
        <v>8</v>
      </c>
      <c r="S5" s="207">
        <v>8</v>
      </c>
      <c r="T5" s="180">
        <v>8</v>
      </c>
      <c r="U5" s="180">
        <v>8</v>
      </c>
      <c r="V5" s="199"/>
      <c r="W5" s="199"/>
      <c r="X5" s="134">
        <f>Y5-COUNTA(I5:W5)</f>
        <v>1</v>
      </c>
      <c r="Y5" s="136">
        <v>10</v>
      </c>
      <c r="Z5" s="120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80</v>
      </c>
      <c r="G6" s="134">
        <f t="shared" si="5"/>
        <v>80</v>
      </c>
      <c r="H6" s="135">
        <v>0</v>
      </c>
      <c r="I6" s="199"/>
      <c r="J6" s="180">
        <v>8</v>
      </c>
      <c r="K6" s="207">
        <v>8</v>
      </c>
      <c r="L6" s="207">
        <v>8</v>
      </c>
      <c r="M6" s="180">
        <v>8</v>
      </c>
      <c r="N6" s="180">
        <v>8</v>
      </c>
      <c r="O6" s="199"/>
      <c r="P6" s="199"/>
      <c r="Q6" s="180">
        <v>8</v>
      </c>
      <c r="R6" s="207">
        <v>8</v>
      </c>
      <c r="S6" s="207">
        <v>8</v>
      </c>
      <c r="T6" s="180">
        <v>8</v>
      </c>
      <c r="U6" s="180">
        <v>8</v>
      </c>
      <c r="V6" s="199"/>
      <c r="W6" s="199"/>
      <c r="X6" s="134">
        <f t="shared" ref="X6:X14" si="6">Y6-COUNTA(I6:W6)</f>
        <v>0</v>
      </c>
      <c r="Y6" s="136">
        <v>10</v>
      </c>
      <c r="Z6" s="120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80</v>
      </c>
      <c r="G7" s="134">
        <f t="shared" si="5"/>
        <v>80</v>
      </c>
      <c r="H7" s="135">
        <v>0</v>
      </c>
      <c r="I7" s="199"/>
      <c r="J7" s="180">
        <v>8</v>
      </c>
      <c r="K7" s="207">
        <v>8</v>
      </c>
      <c r="L7" s="207">
        <v>8</v>
      </c>
      <c r="M7" s="180">
        <v>8</v>
      </c>
      <c r="N7" s="180">
        <v>8</v>
      </c>
      <c r="O7" s="199"/>
      <c r="P7" s="199"/>
      <c r="Q7" s="180">
        <v>8</v>
      </c>
      <c r="R7" s="207">
        <v>8</v>
      </c>
      <c r="S7" s="207">
        <v>8</v>
      </c>
      <c r="T7" s="180">
        <v>8</v>
      </c>
      <c r="U7" s="180">
        <v>8</v>
      </c>
      <c r="V7" s="199"/>
      <c r="W7" s="199"/>
      <c r="X7" s="134">
        <f t="shared" si="6"/>
        <v>0</v>
      </c>
      <c r="Y7" s="136">
        <v>10</v>
      </c>
      <c r="Z7" s="120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199"/>
      <c r="J8" s="180">
        <v>8</v>
      </c>
      <c r="K8" s="207">
        <v>8</v>
      </c>
      <c r="L8" s="207">
        <v>8</v>
      </c>
      <c r="M8" s="180">
        <v>8</v>
      </c>
      <c r="N8" s="180">
        <v>8</v>
      </c>
      <c r="O8" s="199"/>
      <c r="P8" s="199"/>
      <c r="Q8" s="180">
        <v>8</v>
      </c>
      <c r="R8" s="207">
        <v>8</v>
      </c>
      <c r="S8" s="207">
        <v>8</v>
      </c>
      <c r="T8" s="180">
        <v>8</v>
      </c>
      <c r="U8" s="180">
        <v>8</v>
      </c>
      <c r="V8" s="199"/>
      <c r="W8" s="199"/>
      <c r="X8" s="134">
        <f t="shared" si="6"/>
        <v>0</v>
      </c>
      <c r="Y8" s="136">
        <v>10</v>
      </c>
      <c r="Z8" s="120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80</v>
      </c>
      <c r="G9" s="134">
        <f t="shared" si="5"/>
        <v>80</v>
      </c>
      <c r="H9" s="135">
        <v>0</v>
      </c>
      <c r="I9" s="199"/>
      <c r="J9" s="180">
        <v>8</v>
      </c>
      <c r="K9" s="207">
        <v>8</v>
      </c>
      <c r="L9" s="207">
        <v>8</v>
      </c>
      <c r="M9" s="180">
        <v>8</v>
      </c>
      <c r="N9" s="180">
        <v>8</v>
      </c>
      <c r="O9" s="199"/>
      <c r="P9" s="199"/>
      <c r="Q9" s="180">
        <v>8</v>
      </c>
      <c r="R9" s="207">
        <v>8</v>
      </c>
      <c r="S9" s="207">
        <v>8</v>
      </c>
      <c r="T9" s="207">
        <v>8</v>
      </c>
      <c r="U9" s="207">
        <v>8</v>
      </c>
      <c r="V9" s="199"/>
      <c r="W9" s="199"/>
      <c r="X9" s="134">
        <f t="shared" si="6"/>
        <v>0</v>
      </c>
      <c r="Y9" s="136">
        <v>10</v>
      </c>
      <c r="Z9" s="120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64</v>
      </c>
      <c r="G10" s="134">
        <f t="shared" si="5"/>
        <v>64</v>
      </c>
      <c r="H10" s="135">
        <v>0</v>
      </c>
      <c r="I10" s="199"/>
      <c r="J10" s="186"/>
      <c r="K10" s="207">
        <v>8</v>
      </c>
      <c r="L10" s="207">
        <v>8</v>
      </c>
      <c r="M10" s="180">
        <v>8</v>
      </c>
      <c r="N10" s="180">
        <v>8</v>
      </c>
      <c r="O10" s="199"/>
      <c r="P10" s="206"/>
      <c r="Q10" s="186"/>
      <c r="R10" s="207">
        <v>8</v>
      </c>
      <c r="S10" s="208">
        <v>8</v>
      </c>
      <c r="T10" s="187">
        <v>8</v>
      </c>
      <c r="U10" s="182">
        <v>8</v>
      </c>
      <c r="V10" s="199"/>
      <c r="W10" s="206"/>
      <c r="X10" s="134">
        <f t="shared" si="6"/>
        <v>2</v>
      </c>
      <c r="Y10" s="136">
        <v>10</v>
      </c>
      <c r="Z10" s="120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120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120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120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120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188"/>
      <c r="B15" s="188"/>
      <c r="C15" s="188"/>
      <c r="D15" s="189">
        <f t="shared" ref="D15:W15" si="8">SUM(D5:D14)</f>
        <v>480</v>
      </c>
      <c r="E15" s="189">
        <f t="shared" si="8"/>
        <v>480</v>
      </c>
      <c r="F15" s="189">
        <f t="shared" si="8"/>
        <v>456</v>
      </c>
      <c r="G15" s="189">
        <f t="shared" si="8"/>
        <v>456</v>
      </c>
      <c r="H15" s="189">
        <f t="shared" si="8"/>
        <v>0</v>
      </c>
      <c r="I15" s="189">
        <f t="shared" si="8"/>
        <v>0</v>
      </c>
      <c r="J15" s="189">
        <f t="shared" si="8"/>
        <v>40</v>
      </c>
      <c r="K15" s="189">
        <f t="shared" si="8"/>
        <v>48</v>
      </c>
      <c r="L15" s="189">
        <f t="shared" si="8"/>
        <v>40</v>
      </c>
      <c r="M15" s="189">
        <f t="shared" si="8"/>
        <v>48</v>
      </c>
      <c r="N15" s="189">
        <f t="shared" si="8"/>
        <v>48</v>
      </c>
      <c r="O15" s="189">
        <f t="shared" si="8"/>
        <v>0</v>
      </c>
      <c r="P15" s="189">
        <f t="shared" si="8"/>
        <v>0</v>
      </c>
      <c r="Q15" s="189">
        <f t="shared" si="8"/>
        <v>40</v>
      </c>
      <c r="R15" s="189">
        <f t="shared" si="8"/>
        <v>48</v>
      </c>
      <c r="S15" s="189">
        <f t="shared" si="8"/>
        <v>48</v>
      </c>
      <c r="T15" s="189">
        <f t="shared" si="8"/>
        <v>48</v>
      </c>
      <c r="U15" s="189">
        <f t="shared" si="8"/>
        <v>48</v>
      </c>
      <c r="V15" s="189">
        <f t="shared" si="8"/>
        <v>0</v>
      </c>
      <c r="W15" s="189">
        <f t="shared" si="8"/>
        <v>0</v>
      </c>
      <c r="X15" s="189"/>
      <c r="Y15" s="189"/>
      <c r="Z15" s="120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120"/>
      <c r="B16" s="120"/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116" t="s">
        <v>22</v>
      </c>
      <c r="B17" s="117"/>
      <c r="C17" s="117"/>
      <c r="D17" s="120"/>
      <c r="E17" s="120"/>
      <c r="F17" s="120"/>
      <c r="G17" s="120"/>
      <c r="H17" s="120"/>
      <c r="I17" s="120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14"/>
      <c r="AB17" s="120"/>
      <c r="AC17" s="114"/>
    </row>
    <row r="18" spans="1:29" ht="35.25" customHeight="1">
      <c r="A18" s="260" t="s">
        <v>1</v>
      </c>
      <c r="B18" s="260" t="s">
        <v>2</v>
      </c>
      <c r="C18" s="260" t="s">
        <v>3</v>
      </c>
      <c r="D18" s="260" t="s">
        <v>4</v>
      </c>
      <c r="E18" s="262" t="s">
        <v>5</v>
      </c>
      <c r="F18" s="263"/>
      <c r="G18" s="263"/>
      <c r="H18" s="264"/>
      <c r="I18" s="141">
        <f>W3+1</f>
        <v>45824</v>
      </c>
      <c r="J18" s="141">
        <f t="shared" ref="J18:W18" si="9">I18+1</f>
        <v>45825</v>
      </c>
      <c r="K18" s="141">
        <f t="shared" si="9"/>
        <v>45826</v>
      </c>
      <c r="L18" s="121">
        <f t="shared" si="9"/>
        <v>45827</v>
      </c>
      <c r="M18" s="141">
        <f t="shared" si="9"/>
        <v>45828</v>
      </c>
      <c r="N18" s="141">
        <f t="shared" si="9"/>
        <v>45829</v>
      </c>
      <c r="O18" s="141">
        <f t="shared" si="9"/>
        <v>45830</v>
      </c>
      <c r="P18" s="141">
        <f t="shared" si="9"/>
        <v>45831</v>
      </c>
      <c r="Q18" s="141">
        <f t="shared" si="9"/>
        <v>45832</v>
      </c>
      <c r="R18" s="141">
        <f t="shared" si="9"/>
        <v>45833</v>
      </c>
      <c r="S18" s="141">
        <f t="shared" si="9"/>
        <v>45834</v>
      </c>
      <c r="T18" s="141">
        <f t="shared" si="9"/>
        <v>45835</v>
      </c>
      <c r="U18" s="141">
        <f t="shared" si="9"/>
        <v>45836</v>
      </c>
      <c r="V18" s="141">
        <f t="shared" si="9"/>
        <v>45837</v>
      </c>
      <c r="W18" s="141">
        <f t="shared" si="9"/>
        <v>45838</v>
      </c>
      <c r="X18" s="141"/>
      <c r="Y18" s="260" t="s">
        <v>6</v>
      </c>
      <c r="Z18" s="260" t="s">
        <v>7</v>
      </c>
      <c r="AA18" s="120"/>
      <c r="AB18" s="114"/>
    </row>
    <row r="19" spans="1:29" ht="26.25" customHeight="1">
      <c r="A19" s="261"/>
      <c r="B19" s="261"/>
      <c r="C19" s="261"/>
      <c r="D19" s="261"/>
      <c r="E19" s="122" t="s">
        <v>8</v>
      </c>
      <c r="F19" s="123" t="s">
        <v>9</v>
      </c>
      <c r="G19" s="124" t="s">
        <v>10</v>
      </c>
      <c r="H19" s="124" t="s">
        <v>11</v>
      </c>
      <c r="I19" s="128" t="str">
        <f t="shared" ref="I19:W19" si="10">IF(I18="","",TEXT(WEEKDAY(I18), "ddd"))</f>
        <v>Mon</v>
      </c>
      <c r="J19" s="128" t="str">
        <f t="shared" si="10"/>
        <v>Tue</v>
      </c>
      <c r="K19" s="128" t="str">
        <f t="shared" si="10"/>
        <v>Wed</v>
      </c>
      <c r="L19" s="128" t="str">
        <f t="shared" si="10"/>
        <v>Thu</v>
      </c>
      <c r="M19" s="128" t="str">
        <f t="shared" si="10"/>
        <v>Fri</v>
      </c>
      <c r="N19" s="128" t="str">
        <f t="shared" si="10"/>
        <v>Sat</v>
      </c>
      <c r="O19" s="128" t="str">
        <f t="shared" si="10"/>
        <v>Sun</v>
      </c>
      <c r="P19" s="127" t="str">
        <f t="shared" si="10"/>
        <v>Mon</v>
      </c>
      <c r="Q19" s="127" t="str">
        <f t="shared" si="10"/>
        <v>Tue</v>
      </c>
      <c r="R19" s="128" t="str">
        <f t="shared" si="10"/>
        <v>Wed</v>
      </c>
      <c r="S19" s="128" t="str">
        <f t="shared" si="10"/>
        <v>Thu</v>
      </c>
      <c r="T19" s="128" t="str">
        <f t="shared" si="10"/>
        <v>Fri</v>
      </c>
      <c r="U19" s="128" t="str">
        <f t="shared" si="10"/>
        <v>Sat</v>
      </c>
      <c r="V19" s="128" t="str">
        <f t="shared" si="10"/>
        <v>Sun</v>
      </c>
      <c r="W19" s="127" t="str">
        <f t="shared" si="10"/>
        <v>Mon</v>
      </c>
      <c r="X19" s="127"/>
      <c r="Y19" s="261"/>
      <c r="Z19" s="261"/>
      <c r="AA19" s="120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88</v>
      </c>
      <c r="E20" s="134">
        <f t="shared" ref="E20:E25" si="12">Z20*8</f>
        <v>88</v>
      </c>
      <c r="F20" s="134">
        <f t="shared" ref="F20:F25" si="13">G20+H20</f>
        <v>88</v>
      </c>
      <c r="G20" s="134">
        <f t="shared" ref="G20:G25" si="14">SUM(I20:X20)</f>
        <v>88</v>
      </c>
      <c r="H20" s="135">
        <v>0</v>
      </c>
      <c r="I20" s="180">
        <v>8</v>
      </c>
      <c r="J20" s="207">
        <v>8</v>
      </c>
      <c r="K20" s="207">
        <v>8</v>
      </c>
      <c r="L20" s="180">
        <v>8</v>
      </c>
      <c r="M20" s="180">
        <v>8</v>
      </c>
      <c r="N20" s="199"/>
      <c r="O20" s="199"/>
      <c r="P20" s="180">
        <v>8</v>
      </c>
      <c r="Q20" s="207">
        <v>8</v>
      </c>
      <c r="R20" s="207">
        <v>8</v>
      </c>
      <c r="S20" s="180">
        <v>8</v>
      </c>
      <c r="T20" s="180">
        <v>8</v>
      </c>
      <c r="U20" s="199"/>
      <c r="V20" s="199"/>
      <c r="W20" s="207">
        <v>8</v>
      </c>
      <c r="X20" s="207"/>
      <c r="Y20" s="134">
        <f t="shared" ref="Y20:Y25" si="15">Z20-COUNTA(I20:X20)</f>
        <v>0</v>
      </c>
      <c r="Z20" s="136">
        <v>11</v>
      </c>
      <c r="AA20" s="120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88</v>
      </c>
      <c r="E21" s="134">
        <f t="shared" si="12"/>
        <v>88</v>
      </c>
      <c r="F21" s="134">
        <f t="shared" si="13"/>
        <v>80</v>
      </c>
      <c r="G21" s="134">
        <f t="shared" si="14"/>
        <v>80</v>
      </c>
      <c r="H21" s="135">
        <v>0</v>
      </c>
      <c r="I21" s="180">
        <v>8</v>
      </c>
      <c r="J21" s="207">
        <v>8</v>
      </c>
      <c r="K21" s="186"/>
      <c r="L21" s="180">
        <v>8</v>
      </c>
      <c r="M21" s="180">
        <v>8</v>
      </c>
      <c r="N21" s="199"/>
      <c r="O21" s="200"/>
      <c r="P21" s="180">
        <v>8</v>
      </c>
      <c r="Q21" s="207">
        <v>8</v>
      </c>
      <c r="R21" s="140">
        <v>8</v>
      </c>
      <c r="S21" s="207">
        <v>8</v>
      </c>
      <c r="T21" s="180">
        <v>8</v>
      </c>
      <c r="U21" s="199"/>
      <c r="V21" s="200"/>
      <c r="W21" s="180">
        <v>8</v>
      </c>
      <c r="X21" s="207"/>
      <c r="Y21" s="134">
        <f t="shared" si="15"/>
        <v>1</v>
      </c>
      <c r="Z21" s="136">
        <v>11</v>
      </c>
      <c r="AA21" s="120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88</v>
      </c>
      <c r="E22" s="134">
        <f t="shared" si="12"/>
        <v>88</v>
      </c>
      <c r="F22" s="134">
        <f t="shared" si="13"/>
        <v>72</v>
      </c>
      <c r="G22" s="134">
        <f t="shared" si="14"/>
        <v>72</v>
      </c>
      <c r="H22" s="135">
        <v>0</v>
      </c>
      <c r="I22" s="186"/>
      <c r="J22" s="186"/>
      <c r="K22" s="207">
        <v>8</v>
      </c>
      <c r="L22" s="180">
        <v>8</v>
      </c>
      <c r="M22" s="180">
        <v>8</v>
      </c>
      <c r="N22" s="199"/>
      <c r="O22" s="199"/>
      <c r="P22" s="207">
        <v>8</v>
      </c>
      <c r="Q22" s="207">
        <v>8</v>
      </c>
      <c r="R22" s="207">
        <v>8</v>
      </c>
      <c r="S22" s="180">
        <v>8</v>
      </c>
      <c r="T22" s="180">
        <v>8</v>
      </c>
      <c r="U22" s="199"/>
      <c r="V22" s="199"/>
      <c r="W22" s="180">
        <v>8</v>
      </c>
      <c r="X22" s="207"/>
      <c r="Y22" s="134">
        <f t="shared" si="15"/>
        <v>2</v>
      </c>
      <c r="Z22" s="136">
        <v>11</v>
      </c>
      <c r="AA22" s="120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88</v>
      </c>
      <c r="E23" s="134">
        <f t="shared" si="12"/>
        <v>88</v>
      </c>
      <c r="F23" s="134">
        <f t="shared" si="13"/>
        <v>80</v>
      </c>
      <c r="G23" s="134">
        <f t="shared" si="14"/>
        <v>80</v>
      </c>
      <c r="H23" s="135">
        <v>0</v>
      </c>
      <c r="I23" s="180">
        <v>8</v>
      </c>
      <c r="J23" s="207">
        <v>8</v>
      </c>
      <c r="K23" s="207">
        <v>8</v>
      </c>
      <c r="L23" s="180">
        <v>8</v>
      </c>
      <c r="M23" s="186"/>
      <c r="N23" s="199"/>
      <c r="O23" s="200"/>
      <c r="P23" s="180">
        <v>8</v>
      </c>
      <c r="Q23" s="207">
        <v>8</v>
      </c>
      <c r="R23" s="140">
        <v>8</v>
      </c>
      <c r="S23" s="180">
        <v>8</v>
      </c>
      <c r="T23" s="180">
        <v>8</v>
      </c>
      <c r="U23" s="199"/>
      <c r="V23" s="200"/>
      <c r="W23" s="180">
        <v>8</v>
      </c>
      <c r="X23" s="207"/>
      <c r="Y23" s="134">
        <f t="shared" si="15"/>
        <v>1</v>
      </c>
      <c r="Z23" s="136">
        <v>11</v>
      </c>
      <c r="AA23" s="120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88</v>
      </c>
      <c r="E24" s="134">
        <f t="shared" si="12"/>
        <v>88</v>
      </c>
      <c r="F24" s="134">
        <f t="shared" si="13"/>
        <v>80</v>
      </c>
      <c r="G24" s="134">
        <f t="shared" si="14"/>
        <v>80</v>
      </c>
      <c r="H24" s="135">
        <v>0</v>
      </c>
      <c r="I24" s="180">
        <v>8</v>
      </c>
      <c r="J24" s="207">
        <v>8</v>
      </c>
      <c r="K24" s="207">
        <v>8</v>
      </c>
      <c r="L24" s="186"/>
      <c r="M24" s="180">
        <v>8</v>
      </c>
      <c r="N24" s="199"/>
      <c r="O24" s="199"/>
      <c r="P24" s="180">
        <v>8</v>
      </c>
      <c r="Q24" s="207">
        <v>8</v>
      </c>
      <c r="R24" s="207">
        <v>8</v>
      </c>
      <c r="S24" s="180">
        <v>8</v>
      </c>
      <c r="T24" s="180">
        <v>8</v>
      </c>
      <c r="U24" s="199"/>
      <c r="V24" s="199"/>
      <c r="W24" s="207">
        <v>8</v>
      </c>
      <c r="X24" s="207"/>
      <c r="Y24" s="134">
        <f t="shared" si="15"/>
        <v>1</v>
      </c>
      <c r="Z24" s="136">
        <v>11</v>
      </c>
      <c r="AA24" s="120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88</v>
      </c>
      <c r="E25" s="134">
        <f t="shared" si="12"/>
        <v>88</v>
      </c>
      <c r="F25" s="134">
        <f t="shared" si="13"/>
        <v>88</v>
      </c>
      <c r="G25" s="134">
        <f t="shared" si="14"/>
        <v>88</v>
      </c>
      <c r="H25" s="135">
        <v>0</v>
      </c>
      <c r="I25" s="180">
        <v>8</v>
      </c>
      <c r="J25" s="207">
        <v>8</v>
      </c>
      <c r="K25" s="207">
        <v>8</v>
      </c>
      <c r="L25" s="180">
        <v>8</v>
      </c>
      <c r="M25" s="180">
        <v>8</v>
      </c>
      <c r="N25" s="199"/>
      <c r="O25" s="200"/>
      <c r="P25" s="183">
        <v>8</v>
      </c>
      <c r="Q25" s="207">
        <v>8</v>
      </c>
      <c r="R25" s="140">
        <v>8</v>
      </c>
      <c r="S25" s="183">
        <v>8</v>
      </c>
      <c r="T25" s="183">
        <v>8</v>
      </c>
      <c r="U25" s="199"/>
      <c r="V25" s="200"/>
      <c r="W25" s="180">
        <v>8</v>
      </c>
      <c r="X25" s="207"/>
      <c r="Y25" s="134">
        <f t="shared" si="15"/>
        <v>0</v>
      </c>
      <c r="Z25" s="136">
        <v>11</v>
      </c>
      <c r="AA25" s="120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120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120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120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120"/>
      <c r="AB29" s="114"/>
    </row>
    <row r="30" spans="1:29" ht="12.75" customHeight="1">
      <c r="A30" s="190"/>
      <c r="B30" s="190"/>
      <c r="C30" s="191"/>
      <c r="D30" s="189">
        <f t="shared" ref="D30:U30" si="16">SUM(D20:D29)</f>
        <v>528</v>
      </c>
      <c r="E30" s="189">
        <f t="shared" si="16"/>
        <v>528</v>
      </c>
      <c r="F30" s="189">
        <f t="shared" si="16"/>
        <v>488</v>
      </c>
      <c r="G30" s="189">
        <f t="shared" si="16"/>
        <v>488</v>
      </c>
      <c r="H30" s="189">
        <f t="shared" si="16"/>
        <v>0</v>
      </c>
      <c r="I30" s="189">
        <f t="shared" si="16"/>
        <v>40</v>
      </c>
      <c r="J30" s="189">
        <f t="shared" si="16"/>
        <v>40</v>
      </c>
      <c r="K30" s="189">
        <f t="shared" si="16"/>
        <v>40</v>
      </c>
      <c r="L30" s="189">
        <f t="shared" si="16"/>
        <v>40</v>
      </c>
      <c r="M30" s="189">
        <f t="shared" si="16"/>
        <v>40</v>
      </c>
      <c r="N30" s="189">
        <f t="shared" si="16"/>
        <v>0</v>
      </c>
      <c r="O30" s="189">
        <f t="shared" si="16"/>
        <v>0</v>
      </c>
      <c r="P30" s="189">
        <f t="shared" si="16"/>
        <v>48</v>
      </c>
      <c r="Q30" s="189">
        <f t="shared" si="16"/>
        <v>48</v>
      </c>
      <c r="R30" s="189">
        <f t="shared" si="16"/>
        <v>48</v>
      </c>
      <c r="S30" s="189">
        <f t="shared" si="16"/>
        <v>48</v>
      </c>
      <c r="T30" s="189">
        <f t="shared" si="16"/>
        <v>48</v>
      </c>
      <c r="U30" s="189">
        <f t="shared" si="16"/>
        <v>0</v>
      </c>
      <c r="V30" s="189"/>
      <c r="W30" s="189"/>
      <c r="X30" s="189"/>
      <c r="Y30" s="189"/>
      <c r="Z30" s="189"/>
      <c r="AA30" s="114"/>
      <c r="AB30" s="114"/>
    </row>
    <row r="31" spans="1:29" ht="12.75" customHeight="1">
      <c r="A31" s="143"/>
      <c r="B31" s="143"/>
      <c r="C31" s="144"/>
      <c r="D31" s="145"/>
      <c r="E31" s="146"/>
      <c r="F31" s="146"/>
      <c r="G31" s="146"/>
      <c r="H31" s="118"/>
      <c r="I31" s="147"/>
      <c r="J31" s="147"/>
      <c r="K31" s="147"/>
      <c r="L31" s="147"/>
      <c r="M31" s="147"/>
      <c r="N31" s="147"/>
      <c r="O31" s="114"/>
      <c r="P31" s="114"/>
      <c r="Q31" s="147"/>
      <c r="R31" s="147"/>
      <c r="S31" s="147"/>
      <c r="T31" s="147"/>
      <c r="U31" s="147"/>
      <c r="V31" s="147"/>
      <c r="W31" s="147"/>
      <c r="X31" s="147"/>
      <c r="Y31" s="114"/>
      <c r="Z31" s="114"/>
      <c r="AA31" s="114"/>
      <c r="AB31" s="114"/>
      <c r="AC31" s="114"/>
    </row>
    <row r="32" spans="1:29" ht="12.75" customHeight="1">
      <c r="A32" s="120"/>
      <c r="B32" s="120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114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7">E5+E20</f>
        <v>168</v>
      </c>
      <c r="D34" s="155">
        <f t="shared" ref="D34:D39" si="18">B34</f>
        <v>160</v>
      </c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160</v>
      </c>
      <c r="C35" s="154">
        <f t="shared" si="17"/>
        <v>168</v>
      </c>
      <c r="D35" s="155">
        <f t="shared" si="18"/>
        <v>160</v>
      </c>
      <c r="E35" s="114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152</v>
      </c>
      <c r="C36" s="154">
        <f t="shared" si="17"/>
        <v>168</v>
      </c>
      <c r="D36" s="155">
        <f t="shared" si="18"/>
        <v>152</v>
      </c>
      <c r="E36" s="114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7"/>
        <v>168</v>
      </c>
      <c r="D37" s="155">
        <f t="shared" si="18"/>
        <v>160</v>
      </c>
      <c r="E37" s="114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157" t="s">
        <v>20</v>
      </c>
      <c r="B38" s="158">
        <f>F9+F24</f>
        <v>160</v>
      </c>
      <c r="C38" s="159">
        <f t="shared" si="17"/>
        <v>168</v>
      </c>
      <c r="D38" s="160">
        <f t="shared" si="18"/>
        <v>160</v>
      </c>
      <c r="E38" s="114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152</v>
      </c>
      <c r="C39" s="159">
        <f t="shared" si="17"/>
        <v>168</v>
      </c>
      <c r="D39" s="160">
        <f t="shared" si="18"/>
        <v>152</v>
      </c>
      <c r="E39" s="114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152"/>
      <c r="B40" s="153">
        <f>G11+G26</f>
        <v>0</v>
      </c>
      <c r="C40" s="154">
        <f t="shared" ref="C40:D43" si="19">B40</f>
        <v>0</v>
      </c>
      <c r="D40" s="155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120"/>
      <c r="B45" s="120"/>
      <c r="C45" s="120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6" t="s">
        <v>0</v>
      </c>
      <c r="B46" s="257"/>
      <c r="C46" s="258"/>
      <c r="D46" s="120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120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10</v>
      </c>
      <c r="C48" s="168">
        <f>B48*8</f>
        <v>80</v>
      </c>
      <c r="D48" s="120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120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120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120"/>
      <c r="B51" s="120"/>
      <c r="C51" s="120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6" t="s">
        <v>22</v>
      </c>
      <c r="B53" s="257"/>
      <c r="C53" s="258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1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11</v>
      </c>
      <c r="C57" s="173">
        <f t="shared" si="22"/>
        <v>88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168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4"/>
    <row r="261" s="115" customFormat="1" ht="14"/>
    <row r="262" s="115" customFormat="1" ht="14"/>
    <row r="263" s="115" customFormat="1" ht="14"/>
    <row r="264" s="115" customFormat="1" ht="14"/>
    <row r="265" s="115" customFormat="1" ht="14"/>
    <row r="266" s="115" customFormat="1" ht="14"/>
    <row r="267" s="115" customFormat="1" ht="14"/>
    <row r="268" s="115" customFormat="1" ht="14"/>
    <row r="269" s="115" customFormat="1" ht="14"/>
    <row r="270" s="115" customFormat="1" ht="14"/>
    <row r="271" s="115" customFormat="1" ht="14"/>
    <row r="272" s="115" customFormat="1" ht="14"/>
    <row r="273" s="115" customFormat="1" ht="14"/>
    <row r="274" s="115" customFormat="1" ht="14"/>
    <row r="275" s="115" customFormat="1" ht="14"/>
    <row r="276" s="115" customFormat="1" ht="14"/>
    <row r="277" s="115" customFormat="1" ht="14"/>
    <row r="278" s="115" customFormat="1" ht="14"/>
    <row r="279" s="115" customFormat="1" ht="14"/>
    <row r="280" s="115" customFormat="1" ht="14"/>
    <row r="281" s="115" customFormat="1" ht="14"/>
    <row r="282" s="115" customFormat="1" ht="14"/>
    <row r="283" s="115" customFormat="1" ht="14"/>
    <row r="284" s="115" customFormat="1" ht="14"/>
    <row r="285" s="115" customFormat="1" ht="14"/>
    <row r="286" s="115" customFormat="1" ht="14"/>
    <row r="287" s="115" customFormat="1" ht="14"/>
    <row r="288" s="115" customFormat="1" ht="14"/>
    <row r="289" s="115" customFormat="1" ht="14"/>
    <row r="290" s="115" customFormat="1" ht="14"/>
    <row r="291" s="115" customFormat="1" ht="14"/>
    <row r="292" s="115" customFormat="1" ht="14"/>
    <row r="293" s="115" customFormat="1" ht="14"/>
    <row r="294" s="115" customFormat="1" ht="14"/>
    <row r="295" s="115" customFormat="1" ht="14"/>
    <row r="296" s="115" customFormat="1" ht="14"/>
    <row r="297" s="115" customFormat="1" ht="14"/>
    <row r="298" s="115" customFormat="1" ht="14"/>
    <row r="299" s="115" customFormat="1" ht="14"/>
    <row r="300" s="115" customFormat="1" ht="14"/>
    <row r="301" s="115" customFormat="1" ht="14"/>
    <row r="302" s="115" customFormat="1" ht="14"/>
    <row r="303" s="115" customFormat="1" ht="14"/>
    <row r="304" s="115" customFormat="1" ht="14"/>
    <row r="305" s="115" customFormat="1" ht="14"/>
    <row r="306" s="115" customFormat="1" ht="14"/>
    <row r="307" s="115" customFormat="1" ht="14"/>
    <row r="308" s="115" customFormat="1" ht="14"/>
    <row r="309" s="115" customFormat="1" ht="14"/>
    <row r="310" s="115" customFormat="1" ht="14"/>
    <row r="311" s="115" customFormat="1" ht="14"/>
    <row r="312" s="115" customFormat="1" ht="14"/>
    <row r="313" s="115" customFormat="1" ht="14"/>
    <row r="314" s="115" customFormat="1" ht="14"/>
    <row r="315" s="115" customFormat="1" ht="14"/>
    <row r="316" s="115" customFormat="1" ht="14"/>
    <row r="317" s="115" customFormat="1" ht="14"/>
    <row r="318" s="115" customFormat="1" ht="14"/>
    <row r="319" s="115" customFormat="1" ht="14"/>
    <row r="320" s="115" customFormat="1" ht="14"/>
    <row r="321" s="115" customFormat="1" ht="14"/>
    <row r="322" s="115" customFormat="1" ht="14"/>
    <row r="323" s="115" customFormat="1" ht="14"/>
    <row r="324" s="115" customFormat="1" ht="14"/>
    <row r="325" s="115" customFormat="1" ht="14"/>
    <row r="326" s="115" customFormat="1" ht="14"/>
    <row r="327" s="115" customFormat="1" ht="14"/>
    <row r="328" s="115" customFormat="1" ht="14"/>
    <row r="329" s="115" customFormat="1" ht="14"/>
    <row r="330" s="115" customFormat="1" ht="14"/>
    <row r="331" s="115" customFormat="1" ht="14"/>
    <row r="332" s="115" customFormat="1" ht="14"/>
    <row r="333" s="115" customFormat="1" ht="14"/>
    <row r="334" s="115" customFormat="1" ht="14"/>
    <row r="335" s="115" customFormat="1" ht="14"/>
    <row r="336" s="115" customFormat="1" ht="14"/>
    <row r="337" s="115" customFormat="1" ht="14"/>
    <row r="338" s="115" customFormat="1" ht="14"/>
    <row r="339" s="115" customFormat="1" ht="14"/>
    <row r="340" s="115" customFormat="1" ht="14"/>
    <row r="341" s="115" customFormat="1" ht="14"/>
    <row r="342" s="115" customFormat="1" ht="14"/>
    <row r="343" s="115" customFormat="1" ht="14"/>
    <row r="344" s="115" customFormat="1" ht="14"/>
    <row r="345" s="115" customFormat="1" ht="14"/>
    <row r="346" s="115" customFormat="1" ht="14"/>
    <row r="347" s="115" customFormat="1" ht="14"/>
    <row r="348" s="115" customFormat="1" ht="14"/>
    <row r="349" s="115" customFormat="1" ht="14"/>
    <row r="350" s="115" customFormat="1" ht="14"/>
    <row r="351" s="115" customFormat="1" ht="14"/>
    <row r="352" s="115" customFormat="1" ht="14"/>
    <row r="353" s="115" customFormat="1" ht="14"/>
    <row r="354" s="115" customFormat="1" ht="14"/>
    <row r="355" s="115" customFormat="1" ht="14"/>
    <row r="356" s="115" customFormat="1" ht="14"/>
    <row r="357" s="115" customFormat="1" ht="14"/>
    <row r="358" s="115" customFormat="1" ht="14"/>
    <row r="359" s="115" customFormat="1" ht="14"/>
    <row r="360" s="115" customFormat="1" ht="14"/>
    <row r="361" s="115" customFormat="1" ht="14"/>
    <row r="362" s="115" customFormat="1" ht="14"/>
    <row r="363" s="115" customFormat="1" ht="14"/>
    <row r="364" s="115" customFormat="1" ht="14"/>
    <row r="365" s="115" customFormat="1" ht="14"/>
    <row r="366" s="115" customFormat="1" ht="14"/>
    <row r="367" s="115" customFormat="1" ht="14"/>
    <row r="368" s="115" customFormat="1" ht="14"/>
    <row r="369" s="115" customFormat="1" ht="14"/>
    <row r="370" s="115" customFormat="1" ht="14"/>
    <row r="371" s="115" customFormat="1" ht="14"/>
    <row r="372" s="115" customFormat="1" ht="14"/>
    <row r="373" s="115" customFormat="1" ht="14"/>
    <row r="374" s="115" customFormat="1" ht="14"/>
    <row r="375" s="115" customFormat="1" ht="14"/>
    <row r="376" s="115" customFormat="1" ht="14"/>
    <row r="377" s="115" customFormat="1" ht="14"/>
    <row r="378" s="115" customFormat="1" ht="14"/>
    <row r="379" s="115" customFormat="1" ht="14"/>
    <row r="380" s="115" customFormat="1" ht="14"/>
    <row r="381" s="115" customFormat="1" ht="14"/>
    <row r="382" s="115" customFormat="1" ht="14"/>
    <row r="383" s="115" customFormat="1" ht="14"/>
    <row r="384" s="115" customFormat="1" ht="14"/>
    <row r="385" s="115" customFormat="1" ht="14"/>
    <row r="386" s="115" customFormat="1" ht="14"/>
    <row r="387" s="115" customFormat="1" ht="14"/>
    <row r="388" s="115" customFormat="1" ht="14"/>
    <row r="389" s="115" customFormat="1" ht="14"/>
    <row r="390" s="115" customFormat="1" ht="14"/>
    <row r="391" s="115" customFormat="1" ht="14"/>
    <row r="392" s="115" customFormat="1" ht="14"/>
    <row r="393" s="115" customFormat="1" ht="14"/>
    <row r="394" s="115" customFormat="1" ht="14"/>
    <row r="395" s="115" customFormat="1" ht="14"/>
    <row r="396" s="115" customFormat="1" ht="14"/>
    <row r="397" s="115" customFormat="1" ht="14"/>
    <row r="398" s="115" customFormat="1" ht="14"/>
    <row r="399" s="115" customFormat="1" ht="14"/>
    <row r="400" s="115" customFormat="1" ht="14"/>
    <row r="401" s="115" customFormat="1" ht="14"/>
    <row r="402" s="115" customFormat="1" ht="14"/>
    <row r="403" s="115" customFormat="1" ht="14"/>
    <row r="404" s="115" customFormat="1" ht="14"/>
    <row r="405" s="115" customFormat="1" ht="14"/>
    <row r="406" s="115" customFormat="1" ht="14"/>
    <row r="407" s="115" customFormat="1" ht="14"/>
    <row r="408" s="115" customFormat="1" ht="14"/>
    <row r="409" s="115" customFormat="1" ht="14"/>
    <row r="410" s="115" customFormat="1" ht="14"/>
    <row r="411" s="115" customFormat="1" ht="14"/>
    <row r="412" s="115" customFormat="1" ht="14"/>
    <row r="413" s="115" customFormat="1" ht="14"/>
    <row r="414" s="115" customFormat="1" ht="14"/>
    <row r="415" s="115" customFormat="1" ht="14"/>
    <row r="416" s="115" customFormat="1" ht="14"/>
    <row r="417" s="115" customFormat="1" ht="14"/>
    <row r="418" s="115" customFormat="1" ht="14"/>
    <row r="419" s="115" customFormat="1" ht="14"/>
    <row r="420" s="115" customFormat="1" ht="14"/>
    <row r="421" s="115" customFormat="1" ht="14"/>
    <row r="422" s="115" customFormat="1" ht="14"/>
    <row r="423" s="115" customFormat="1" ht="14"/>
    <row r="424" s="115" customFormat="1" ht="14"/>
    <row r="425" s="115" customFormat="1" ht="14"/>
    <row r="426" s="115" customFormat="1" ht="14"/>
    <row r="427" s="115" customFormat="1" ht="14"/>
    <row r="428" s="115" customFormat="1" ht="14"/>
    <row r="429" s="115" customFormat="1" ht="14"/>
    <row r="430" s="115" customFormat="1" ht="14"/>
    <row r="431" s="115" customFormat="1" ht="14"/>
    <row r="432" s="115" customFormat="1" ht="14"/>
    <row r="433" s="115" customFormat="1" ht="14"/>
    <row r="434" s="115" customFormat="1" ht="14"/>
    <row r="435" s="115" customFormat="1" ht="14"/>
    <row r="436" s="115" customFormat="1" ht="14"/>
    <row r="437" s="115" customFormat="1" ht="14"/>
    <row r="438" s="115" customFormat="1" ht="14"/>
    <row r="439" s="115" customFormat="1" ht="14"/>
    <row r="440" s="115" customFormat="1" ht="14"/>
    <row r="441" s="115" customFormat="1" ht="14"/>
    <row r="442" s="115" customFormat="1" ht="14"/>
    <row r="443" s="115" customFormat="1" ht="14"/>
    <row r="444" s="115" customFormat="1" ht="14"/>
    <row r="445" s="115" customFormat="1" ht="14"/>
    <row r="446" s="115" customFormat="1" ht="14"/>
    <row r="447" s="115" customFormat="1" ht="14"/>
    <row r="448" s="115" customFormat="1" ht="14"/>
    <row r="449" s="115" customFormat="1" ht="14"/>
    <row r="450" s="115" customFormat="1" ht="14"/>
    <row r="451" s="115" customFormat="1" ht="14"/>
    <row r="452" s="115" customFormat="1" ht="14"/>
    <row r="453" s="115" customFormat="1" ht="14"/>
    <row r="454" s="115" customFormat="1" ht="14"/>
    <row r="455" s="115" customFormat="1" ht="14"/>
    <row r="456" s="115" customFormat="1" ht="14"/>
    <row r="457" s="115" customFormat="1" ht="14"/>
    <row r="458" s="115" customFormat="1" ht="14"/>
    <row r="459" s="115" customFormat="1" ht="14"/>
    <row r="460" s="115" customFormat="1" ht="14"/>
    <row r="461" s="115" customFormat="1" ht="14"/>
    <row r="462" s="115" customFormat="1" ht="14"/>
    <row r="463" s="115" customFormat="1" ht="14"/>
    <row r="464" s="115" customFormat="1" ht="14"/>
    <row r="465" s="115" customFormat="1" ht="14"/>
    <row r="466" s="115" customFormat="1" ht="14"/>
    <row r="467" s="115" customFormat="1" ht="14"/>
    <row r="468" s="115" customFormat="1" ht="14"/>
    <row r="469" s="115" customFormat="1" ht="14"/>
    <row r="470" s="115" customFormat="1" ht="14"/>
    <row r="471" s="115" customFormat="1" ht="14"/>
    <row r="472" s="115" customFormat="1" ht="14"/>
    <row r="473" s="115" customFormat="1" ht="14"/>
    <row r="474" s="115" customFormat="1" ht="14"/>
    <row r="475" s="115" customFormat="1" ht="14"/>
    <row r="476" s="115" customFormat="1" ht="14"/>
    <row r="477" s="115" customFormat="1" ht="14"/>
    <row r="478" s="115" customFormat="1" ht="14"/>
    <row r="479" s="115" customFormat="1" ht="14"/>
    <row r="480" s="115" customFormat="1" ht="14"/>
    <row r="481" s="115" customFormat="1" ht="14"/>
    <row r="482" s="115" customFormat="1" ht="14"/>
    <row r="483" s="115" customFormat="1" ht="14"/>
    <row r="484" s="115" customFormat="1" ht="14"/>
    <row r="485" s="115" customFormat="1" ht="14"/>
    <row r="486" s="115" customFormat="1" ht="14"/>
    <row r="487" s="115" customFormat="1" ht="14"/>
    <row r="488" s="115" customFormat="1" ht="14"/>
    <row r="489" s="115" customFormat="1" ht="14"/>
    <row r="490" s="115" customFormat="1" ht="14"/>
    <row r="491" s="115" customFormat="1" ht="14"/>
    <row r="492" s="115" customFormat="1" ht="14"/>
    <row r="493" s="115" customFormat="1" ht="14"/>
    <row r="494" s="115" customFormat="1" ht="14"/>
    <row r="495" s="115" customFormat="1" ht="14"/>
    <row r="496" s="115" customFormat="1" ht="14"/>
    <row r="497" s="115" customFormat="1" ht="14"/>
    <row r="498" s="115" customFormat="1" ht="14"/>
    <row r="499" s="115" customFormat="1" ht="14"/>
    <row r="500" s="115" customFormat="1" ht="14"/>
    <row r="501" s="115" customFormat="1" ht="14"/>
    <row r="502" s="115" customFormat="1" ht="14"/>
    <row r="503" s="115" customFormat="1" ht="14"/>
    <row r="504" s="115" customFormat="1" ht="14"/>
    <row r="505" s="115" customFormat="1" ht="14"/>
    <row r="506" s="115" customFormat="1" ht="14"/>
    <row r="507" s="115" customFormat="1" ht="14"/>
    <row r="508" s="115" customFormat="1" ht="14"/>
    <row r="509" s="115" customFormat="1" ht="14"/>
    <row r="510" s="115" customFormat="1" ht="14"/>
    <row r="511" s="115" customFormat="1" ht="14"/>
    <row r="512" s="115" customFormat="1" ht="14"/>
    <row r="513" s="115" customFormat="1" ht="14"/>
    <row r="514" s="115" customFormat="1" ht="14"/>
    <row r="515" s="115" customFormat="1" ht="14"/>
    <row r="516" s="115" customFormat="1" ht="14"/>
    <row r="517" s="115" customFormat="1" ht="14"/>
    <row r="518" s="115" customFormat="1" ht="14"/>
    <row r="519" s="115" customFormat="1" ht="14"/>
    <row r="520" s="115" customFormat="1" ht="14"/>
    <row r="521" s="115" customFormat="1" ht="14"/>
    <row r="522" s="115" customFormat="1" ht="14"/>
    <row r="523" s="115" customFormat="1" ht="14"/>
    <row r="524" s="115" customFormat="1" ht="14"/>
    <row r="525" s="115" customFormat="1" ht="14"/>
    <row r="526" s="115" customFormat="1" ht="14"/>
    <row r="527" s="115" customFormat="1" ht="14"/>
    <row r="528" s="115" customFormat="1" ht="14"/>
    <row r="529" s="115" customFormat="1" ht="14"/>
    <row r="530" s="115" customFormat="1" ht="14"/>
    <row r="531" s="115" customFormat="1" ht="14"/>
    <row r="532" s="115" customFormat="1" ht="14"/>
    <row r="533" s="115" customFormat="1" ht="14"/>
    <row r="534" s="115" customFormat="1" ht="14"/>
    <row r="535" s="115" customFormat="1" ht="14"/>
    <row r="536" s="115" customFormat="1" ht="14"/>
    <row r="537" s="115" customFormat="1" ht="14"/>
    <row r="538" s="115" customFormat="1" ht="14"/>
    <row r="539" s="115" customFormat="1" ht="14"/>
    <row r="540" s="115" customFormat="1" ht="14"/>
    <row r="541" s="115" customFormat="1" ht="14"/>
    <row r="542" s="115" customFormat="1" ht="14"/>
    <row r="543" s="115" customFormat="1" ht="14"/>
    <row r="544" s="115" customFormat="1" ht="14"/>
    <row r="545" s="115" customFormat="1" ht="14"/>
    <row r="546" s="115" customFormat="1" ht="14"/>
    <row r="547" s="115" customFormat="1" ht="14"/>
    <row r="548" s="115" customFormat="1" ht="14"/>
    <row r="549" s="115" customFormat="1" ht="14"/>
    <row r="550" s="115" customFormat="1" ht="14"/>
    <row r="551" s="115" customFormat="1" ht="14"/>
    <row r="552" s="115" customFormat="1" ht="14"/>
    <row r="553" s="115" customFormat="1" ht="14"/>
    <row r="554" s="115" customFormat="1" ht="14"/>
    <row r="555" s="115" customFormat="1" ht="14"/>
    <row r="556" s="115" customFormat="1" ht="14"/>
    <row r="557" s="115" customFormat="1" ht="14"/>
    <row r="558" s="115" customFormat="1" ht="14"/>
    <row r="559" s="115" customFormat="1" ht="14"/>
    <row r="560" s="115" customFormat="1" ht="14"/>
    <row r="561" s="115" customFormat="1" ht="14"/>
    <row r="562" s="115" customFormat="1" ht="14"/>
    <row r="563" s="115" customFormat="1" ht="14"/>
    <row r="564" s="115" customFormat="1" ht="14"/>
    <row r="565" s="115" customFormat="1" ht="14"/>
    <row r="566" s="115" customFormat="1" ht="14"/>
    <row r="567" s="115" customFormat="1" ht="14"/>
    <row r="568" s="115" customFormat="1" ht="14"/>
    <row r="569" s="115" customFormat="1" ht="14"/>
    <row r="570" s="115" customFormat="1" ht="14"/>
    <row r="571" s="115" customFormat="1" ht="14"/>
    <row r="572" s="115" customFormat="1" ht="14"/>
    <row r="573" s="115" customFormat="1" ht="14"/>
    <row r="574" s="115" customFormat="1" ht="14"/>
    <row r="575" s="115" customFormat="1" ht="14"/>
    <row r="576" s="115" customFormat="1" ht="14"/>
    <row r="577" s="115" customFormat="1" ht="14"/>
    <row r="578" s="115" customFormat="1" ht="14"/>
    <row r="579" s="115" customFormat="1" ht="14"/>
    <row r="580" s="115" customFormat="1" ht="14"/>
    <row r="581" s="115" customFormat="1" ht="14"/>
    <row r="582" s="115" customFormat="1" ht="14"/>
    <row r="583" s="115" customFormat="1" ht="14"/>
    <row r="584" s="115" customFormat="1" ht="14"/>
    <row r="585" s="115" customFormat="1" ht="14"/>
    <row r="586" s="115" customFormat="1" ht="14"/>
    <row r="587" s="115" customFormat="1" ht="14"/>
    <row r="588" s="115" customFormat="1" ht="14"/>
    <row r="589" s="115" customFormat="1" ht="14"/>
    <row r="590" s="115" customFormat="1" ht="14"/>
    <row r="591" s="115" customFormat="1" ht="14"/>
    <row r="592" s="115" customFormat="1" ht="14"/>
    <row r="593" s="115" customFormat="1" ht="14"/>
    <row r="594" s="115" customFormat="1" ht="14"/>
    <row r="595" s="115" customFormat="1" ht="14"/>
    <row r="596" s="115" customFormat="1" ht="14"/>
    <row r="597" s="115" customFormat="1" ht="14"/>
    <row r="598" s="115" customFormat="1" ht="14"/>
    <row r="599" s="115" customFormat="1" ht="14"/>
    <row r="600" s="115" customFormat="1" ht="14"/>
    <row r="601" s="115" customFormat="1" ht="14"/>
    <row r="602" s="115" customFormat="1" ht="14"/>
    <row r="603" s="115" customFormat="1" ht="14"/>
    <row r="604" s="115" customFormat="1" ht="14"/>
    <row r="605" s="115" customFormat="1" ht="14"/>
    <row r="606" s="115" customFormat="1" ht="14"/>
    <row r="607" s="115" customFormat="1" ht="14"/>
    <row r="608" s="115" customFormat="1" ht="14"/>
    <row r="609" s="115" customFormat="1" ht="14"/>
    <row r="610" s="115" customFormat="1" ht="14"/>
    <row r="611" s="115" customFormat="1" ht="14"/>
    <row r="612" s="115" customFormat="1" ht="14"/>
    <row r="613" s="115" customFormat="1" ht="14"/>
    <row r="614" s="115" customFormat="1" ht="14"/>
    <row r="615" s="115" customFormat="1" ht="14"/>
    <row r="616" s="115" customFormat="1" ht="14"/>
    <row r="617" s="115" customFormat="1" ht="14"/>
    <row r="618" s="115" customFormat="1" ht="14"/>
    <row r="619" s="115" customFormat="1" ht="14"/>
    <row r="620" s="115" customFormat="1" ht="14"/>
    <row r="621" s="115" customFormat="1" ht="14"/>
    <row r="622" s="115" customFormat="1" ht="14"/>
    <row r="623" s="115" customFormat="1" ht="14"/>
    <row r="624" s="115" customFormat="1" ht="14"/>
    <row r="625" s="115" customFormat="1" ht="14"/>
    <row r="626" s="115" customFormat="1" ht="14"/>
    <row r="627" s="115" customFormat="1" ht="14"/>
    <row r="628" s="115" customFormat="1" ht="14"/>
    <row r="629" s="115" customFormat="1" ht="14"/>
    <row r="630" s="115" customFormat="1" ht="14"/>
    <row r="631" s="115" customFormat="1" ht="14"/>
    <row r="632" s="115" customFormat="1" ht="14"/>
    <row r="633" s="115" customFormat="1" ht="14"/>
    <row r="634" s="115" customFormat="1" ht="14"/>
    <row r="635" s="115" customFormat="1" ht="14"/>
    <row r="636" s="115" customFormat="1" ht="14"/>
    <row r="637" s="115" customFormat="1" ht="14"/>
    <row r="638" s="115" customFormat="1" ht="14"/>
    <row r="639" s="115" customFormat="1" ht="14"/>
    <row r="640" s="115" customFormat="1" ht="14"/>
    <row r="641" s="115" customFormat="1" ht="14"/>
    <row r="642" s="115" customFormat="1" ht="14"/>
    <row r="643" s="115" customFormat="1" ht="14"/>
    <row r="644" s="115" customFormat="1" ht="14"/>
    <row r="645" s="115" customFormat="1" ht="14"/>
    <row r="646" s="115" customFormat="1" ht="14"/>
    <row r="647" s="115" customFormat="1" ht="14"/>
    <row r="648" s="115" customFormat="1" ht="14"/>
    <row r="649" s="115" customFormat="1" ht="14"/>
    <row r="650" s="115" customFormat="1" ht="14"/>
    <row r="651" s="115" customFormat="1" ht="14"/>
    <row r="652" s="115" customFormat="1" ht="14"/>
    <row r="653" s="115" customFormat="1" ht="14"/>
    <row r="654" s="115" customFormat="1" ht="14"/>
    <row r="655" s="115" customFormat="1" ht="14"/>
    <row r="656" s="115" customFormat="1" ht="14"/>
    <row r="657" s="115" customFormat="1" ht="14"/>
    <row r="658" s="115" customFormat="1" ht="14"/>
    <row r="659" s="115" customFormat="1" ht="14"/>
    <row r="660" s="115" customFormat="1" ht="14"/>
    <row r="661" s="115" customFormat="1" ht="14"/>
    <row r="662" s="115" customFormat="1" ht="14"/>
    <row r="663" s="115" customFormat="1" ht="14"/>
    <row r="664" s="115" customFormat="1" ht="14"/>
    <row r="665" s="115" customFormat="1" ht="14"/>
    <row r="666" s="115" customFormat="1" ht="14"/>
    <row r="667" s="115" customFormat="1" ht="14"/>
    <row r="668" s="115" customFormat="1" ht="14"/>
    <row r="669" s="115" customFormat="1" ht="14"/>
    <row r="670" s="115" customFormat="1" ht="14"/>
    <row r="671" s="115" customFormat="1" ht="14"/>
    <row r="672" s="115" customFormat="1" ht="14"/>
    <row r="673" s="115" customFormat="1" ht="14"/>
    <row r="674" s="115" customFormat="1" ht="14"/>
    <row r="675" s="115" customFormat="1" ht="14"/>
    <row r="676" s="115" customFormat="1" ht="14"/>
    <row r="677" s="115" customFormat="1" ht="14"/>
    <row r="678" s="115" customFormat="1" ht="14"/>
    <row r="679" s="115" customFormat="1" ht="14"/>
    <row r="680" s="115" customFormat="1" ht="14"/>
    <row r="681" s="115" customFormat="1" ht="14"/>
    <row r="682" s="115" customFormat="1" ht="14"/>
    <row r="683" s="115" customFormat="1" ht="14"/>
    <row r="684" s="115" customFormat="1" ht="14"/>
    <row r="685" s="115" customFormat="1" ht="14"/>
    <row r="686" s="115" customFormat="1" ht="14"/>
    <row r="687" s="115" customFormat="1" ht="14"/>
    <row r="688" s="115" customFormat="1" ht="14"/>
    <row r="689" s="115" customFormat="1" ht="14"/>
    <row r="690" s="115" customFormat="1" ht="14"/>
    <row r="691" s="115" customFormat="1" ht="14"/>
    <row r="692" s="115" customFormat="1" ht="14"/>
    <row r="693" s="115" customFormat="1" ht="14"/>
    <row r="694" s="115" customFormat="1" ht="14"/>
    <row r="695" s="115" customFormat="1" ht="14"/>
    <row r="696" s="115" customFormat="1" ht="14"/>
    <row r="697" s="115" customFormat="1" ht="14"/>
    <row r="698" s="115" customFormat="1" ht="14"/>
    <row r="699" s="115" customFormat="1" ht="14"/>
    <row r="700" s="115" customFormat="1" ht="14"/>
    <row r="701" s="115" customFormat="1" ht="14"/>
    <row r="702" s="115" customFormat="1" ht="14"/>
    <row r="703" s="115" customFormat="1" ht="14"/>
    <row r="704" s="115" customFormat="1" ht="14"/>
    <row r="705" s="115" customFormat="1" ht="14"/>
    <row r="706" s="115" customFormat="1" ht="14"/>
    <row r="707" s="115" customFormat="1" ht="14"/>
    <row r="708" s="115" customFormat="1" ht="14"/>
    <row r="709" s="115" customFormat="1" ht="14"/>
    <row r="710" s="115" customFormat="1" ht="14"/>
    <row r="711" s="115" customFormat="1" ht="14"/>
    <row r="712" s="115" customFormat="1" ht="14"/>
    <row r="713" s="115" customFormat="1" ht="14"/>
    <row r="714" s="115" customFormat="1" ht="14"/>
    <row r="715" s="115" customFormat="1" ht="14"/>
    <row r="716" s="115" customFormat="1" ht="14"/>
    <row r="717" s="115" customFormat="1" ht="14"/>
    <row r="718" s="115" customFormat="1" ht="14"/>
    <row r="719" s="115" customFormat="1" ht="14"/>
    <row r="720" s="115" customFormat="1" ht="14"/>
    <row r="721" s="115" customFormat="1" ht="14"/>
    <row r="722" s="115" customFormat="1" ht="14"/>
    <row r="723" s="115" customFormat="1" ht="14"/>
    <row r="724" s="115" customFormat="1" ht="14"/>
    <row r="725" s="115" customFormat="1" ht="14"/>
    <row r="726" s="115" customFormat="1" ht="14"/>
    <row r="727" s="115" customFormat="1" ht="14"/>
    <row r="728" s="115" customFormat="1" ht="14"/>
    <row r="729" s="115" customFormat="1" ht="14"/>
    <row r="730" s="115" customFormat="1" ht="14"/>
    <row r="731" s="115" customFormat="1" ht="14"/>
    <row r="732" s="115" customFormat="1" ht="14"/>
    <row r="733" s="115" customFormat="1" ht="14"/>
    <row r="734" s="115" customFormat="1" ht="14"/>
    <row r="735" s="115" customFormat="1" ht="14"/>
    <row r="736" s="115" customFormat="1" ht="14"/>
    <row r="737" s="115" customFormat="1" ht="14"/>
    <row r="738" s="115" customFormat="1" ht="14"/>
    <row r="739" s="115" customFormat="1" ht="14"/>
    <row r="740" s="115" customFormat="1" ht="14"/>
    <row r="741" s="115" customFormat="1" ht="14"/>
    <row r="742" s="115" customFormat="1" ht="14"/>
    <row r="743" s="115" customFormat="1" ht="14"/>
    <row r="744" s="115" customFormat="1" ht="14"/>
    <row r="745" s="115" customFormat="1" ht="14"/>
    <row r="746" s="115" customFormat="1" ht="14"/>
    <row r="747" s="115" customFormat="1" ht="14"/>
    <row r="748" s="115" customFormat="1" ht="14"/>
    <row r="749" s="115" customFormat="1" ht="14"/>
    <row r="750" s="115" customFormat="1" ht="14"/>
    <row r="751" s="115" customFormat="1" ht="14"/>
    <row r="752" s="115" customFormat="1" ht="14"/>
    <row r="753" s="115" customFormat="1" ht="14"/>
    <row r="754" s="115" customFormat="1" ht="14"/>
    <row r="755" s="115" customFormat="1" ht="14"/>
    <row r="756" s="115" customFormat="1" ht="14"/>
    <row r="757" s="115" customFormat="1" ht="14"/>
    <row r="758" s="115" customFormat="1" ht="14"/>
    <row r="759" s="115" customFormat="1" ht="14"/>
    <row r="760" s="115" customFormat="1" ht="14"/>
    <row r="761" s="115" customFormat="1" ht="14"/>
    <row r="762" s="115" customFormat="1" ht="14"/>
    <row r="763" s="115" customFormat="1" ht="14"/>
    <row r="764" s="115" customFormat="1" ht="14"/>
    <row r="765" s="115" customFormat="1" ht="14"/>
    <row r="766" s="115" customFormat="1" ht="14"/>
    <row r="767" s="115" customFormat="1" ht="14"/>
    <row r="768" s="115" customFormat="1" ht="14"/>
    <row r="769" s="115" customFormat="1" ht="14"/>
    <row r="770" s="115" customFormat="1" ht="14"/>
    <row r="771" s="115" customFormat="1" ht="14"/>
    <row r="772" s="115" customFormat="1" ht="14"/>
    <row r="773" s="115" customFormat="1" ht="14"/>
    <row r="774" s="115" customFormat="1" ht="14"/>
    <row r="775" s="115" customFormat="1" ht="14"/>
    <row r="776" s="115" customFormat="1" ht="14"/>
    <row r="777" s="115" customFormat="1" ht="14"/>
    <row r="778" s="115" customFormat="1" ht="14"/>
    <row r="779" s="115" customFormat="1" ht="14"/>
    <row r="780" s="115" customFormat="1" ht="14"/>
    <row r="781" s="115" customFormat="1" ht="14"/>
    <row r="782" s="115" customFormat="1" ht="14"/>
    <row r="783" s="115" customFormat="1" ht="14"/>
    <row r="784" s="115" customFormat="1" ht="14"/>
    <row r="785" s="115" customFormat="1" ht="14"/>
    <row r="786" s="115" customFormat="1" ht="14"/>
    <row r="787" s="115" customFormat="1" ht="14"/>
    <row r="788" s="115" customFormat="1" ht="14"/>
    <row r="789" s="115" customFormat="1" ht="14"/>
    <row r="790" s="115" customFormat="1" ht="14"/>
    <row r="791" s="115" customFormat="1" ht="14"/>
    <row r="792" s="115" customFormat="1" ht="14"/>
    <row r="793" s="115" customFormat="1" ht="14"/>
    <row r="794" s="115" customFormat="1" ht="14"/>
    <row r="795" s="115" customFormat="1" ht="14"/>
    <row r="796" s="115" customFormat="1" ht="14"/>
    <row r="797" s="115" customFormat="1" ht="14"/>
    <row r="798" s="115" customFormat="1" ht="14"/>
    <row r="799" s="115" customFormat="1" ht="14"/>
    <row r="800" s="115" customFormat="1" ht="14"/>
    <row r="801" s="115" customFormat="1" ht="14"/>
    <row r="802" s="115" customFormat="1" ht="14"/>
    <row r="803" s="115" customFormat="1" ht="14"/>
    <row r="804" s="115" customFormat="1" ht="14"/>
    <row r="805" s="115" customFormat="1" ht="14"/>
    <row r="806" s="115" customFormat="1" ht="14"/>
    <row r="807" s="115" customFormat="1" ht="14"/>
    <row r="808" s="115" customFormat="1" ht="14"/>
    <row r="809" s="115" customFormat="1" ht="14"/>
    <row r="810" s="115" customFormat="1" ht="14"/>
    <row r="811" s="115" customFormat="1" ht="14"/>
    <row r="812" s="115" customFormat="1" ht="14"/>
    <row r="813" s="115" customFormat="1" ht="14"/>
    <row r="814" s="115" customFormat="1" ht="14"/>
    <row r="815" s="115" customFormat="1" ht="14"/>
    <row r="816" s="115" customFormat="1" ht="14"/>
    <row r="817" s="115" customFormat="1" ht="14"/>
    <row r="818" s="115" customFormat="1" ht="14"/>
    <row r="819" s="115" customFormat="1" ht="14"/>
    <row r="820" s="115" customFormat="1" ht="14"/>
    <row r="821" s="115" customFormat="1" ht="14"/>
    <row r="822" s="115" customFormat="1" ht="14"/>
    <row r="823" s="115" customFormat="1" ht="14"/>
    <row r="824" s="115" customFormat="1" ht="14"/>
    <row r="825" s="115" customFormat="1" ht="14"/>
    <row r="826" s="115" customFormat="1" ht="14"/>
    <row r="827" s="115" customFormat="1" ht="14"/>
    <row r="828" s="115" customFormat="1" ht="14"/>
    <row r="829" s="115" customFormat="1" ht="14"/>
    <row r="830" s="115" customFormat="1" ht="14"/>
    <row r="831" s="115" customFormat="1" ht="14"/>
    <row r="832" s="115" customFormat="1" ht="14"/>
    <row r="833" s="115" customFormat="1" ht="14"/>
    <row r="834" s="115" customFormat="1" ht="14"/>
    <row r="835" s="115" customFormat="1" ht="14"/>
    <row r="836" s="115" customFormat="1" ht="14"/>
    <row r="837" s="115" customFormat="1" ht="14"/>
    <row r="838" s="115" customFormat="1" ht="14"/>
    <row r="839" s="115" customFormat="1" ht="14"/>
    <row r="840" s="115" customFormat="1" ht="14"/>
    <row r="841" s="115" customFormat="1" ht="14"/>
    <row r="842" s="115" customFormat="1" ht="14"/>
    <row r="843" s="115" customFormat="1" ht="14"/>
    <row r="844" s="115" customFormat="1" ht="14"/>
    <row r="845" s="115" customFormat="1" ht="14"/>
    <row r="846" s="115" customFormat="1" ht="14"/>
    <row r="847" s="115" customFormat="1" ht="14"/>
    <row r="848" s="115" customFormat="1" ht="14"/>
    <row r="849" s="115" customFormat="1" ht="14"/>
    <row r="850" s="115" customFormat="1" ht="14"/>
    <row r="851" s="115" customFormat="1" ht="14"/>
    <row r="852" s="115" customFormat="1" ht="14"/>
    <row r="853" s="115" customFormat="1" ht="14"/>
    <row r="854" s="115" customFormat="1" ht="14"/>
    <row r="855" s="115" customFormat="1" ht="14"/>
    <row r="856" s="115" customFormat="1" ht="14"/>
    <row r="857" s="115" customFormat="1" ht="14"/>
    <row r="858" s="115" customFormat="1" ht="14"/>
    <row r="859" s="115" customFormat="1" ht="14"/>
    <row r="860" s="115" customFormat="1" ht="14"/>
    <row r="861" s="115" customFormat="1" ht="14"/>
    <row r="862" s="115" customFormat="1" ht="14"/>
    <row r="863" s="115" customFormat="1" ht="14"/>
    <row r="864" s="115" customFormat="1" ht="14"/>
    <row r="865" s="115" customFormat="1" ht="14"/>
    <row r="866" s="115" customFormat="1" ht="14"/>
    <row r="867" s="115" customFormat="1" ht="14"/>
    <row r="868" s="115" customFormat="1" ht="14"/>
    <row r="869" s="115" customFormat="1" ht="14"/>
    <row r="870" s="115" customFormat="1" ht="14"/>
    <row r="871" s="115" customFormat="1" ht="14"/>
    <row r="872" s="115" customFormat="1" ht="14"/>
    <row r="873" s="115" customFormat="1" ht="14"/>
    <row r="874" s="115" customFormat="1" ht="14"/>
    <row r="875" s="115" customFormat="1" ht="14"/>
    <row r="876" s="115" customFormat="1" ht="14"/>
    <row r="877" s="115" customFormat="1" ht="14"/>
    <row r="878" s="115" customFormat="1" ht="14"/>
    <row r="879" s="115" customFormat="1" ht="14"/>
    <row r="880" s="115" customFormat="1" ht="14"/>
    <row r="881" s="115" customFormat="1" ht="14"/>
    <row r="882" s="115" customFormat="1" ht="14"/>
    <row r="883" s="115" customFormat="1" ht="14"/>
    <row r="884" s="115" customFormat="1" ht="14"/>
    <row r="885" s="115" customFormat="1" ht="14"/>
    <row r="886" s="115" customFormat="1" ht="14"/>
    <row r="887" s="115" customFormat="1" ht="14"/>
    <row r="888" s="115" customFormat="1" ht="14"/>
    <row r="889" s="115" customFormat="1" ht="14"/>
    <row r="890" s="115" customFormat="1" ht="14"/>
    <row r="891" s="115" customFormat="1" ht="14"/>
    <row r="892" s="115" customFormat="1" ht="14"/>
    <row r="893" s="115" customFormat="1" ht="14"/>
    <row r="894" s="115" customFormat="1" ht="14"/>
    <row r="895" s="115" customFormat="1" ht="14"/>
    <row r="896" s="115" customFormat="1" ht="14"/>
    <row r="897" s="115" customFormat="1" ht="14"/>
    <row r="898" s="115" customFormat="1" ht="14"/>
    <row r="899" s="115" customFormat="1" ht="14"/>
    <row r="900" s="115" customFormat="1" ht="14"/>
    <row r="901" s="115" customFormat="1" ht="14"/>
    <row r="902" s="115" customFormat="1" ht="14"/>
    <row r="903" s="115" customFormat="1" ht="14"/>
    <row r="904" s="115" customFormat="1" ht="14"/>
    <row r="905" s="115" customFormat="1" ht="14"/>
    <row r="906" s="115" customFormat="1" ht="14"/>
    <row r="907" s="115" customFormat="1" ht="14"/>
    <row r="908" s="115" customFormat="1" ht="14"/>
    <row r="909" s="115" customFormat="1" ht="14"/>
    <row r="910" s="115" customFormat="1" ht="14"/>
    <row r="911" s="115" customFormat="1" ht="14"/>
    <row r="912" s="115" customFormat="1" ht="14"/>
    <row r="913" s="115" customFormat="1" ht="14"/>
    <row r="914" s="115" customFormat="1" ht="14"/>
    <row r="915" s="115" customFormat="1" ht="14"/>
    <row r="916" s="115" customFormat="1" ht="14"/>
    <row r="917" s="115" customFormat="1" ht="14"/>
    <row r="918" s="115" customFormat="1" ht="14"/>
    <row r="919" s="115" customFormat="1" ht="14"/>
    <row r="920" s="115" customFormat="1" ht="14"/>
    <row r="921" s="115" customFormat="1" ht="14"/>
    <row r="922" s="115" customFormat="1" ht="14"/>
    <row r="923" s="115" customFormat="1" ht="14"/>
    <row r="924" s="115" customFormat="1" ht="14"/>
    <row r="925" s="115" customFormat="1" ht="14"/>
    <row r="926" s="115" customFormat="1" ht="14"/>
    <row r="927" s="115" customFormat="1" ht="14"/>
    <row r="928" s="115" customFormat="1" ht="14"/>
    <row r="929" s="115" customFormat="1" ht="14"/>
    <row r="930" s="115" customFormat="1" ht="14"/>
    <row r="931" s="115" customFormat="1" ht="14"/>
    <row r="932" s="115" customFormat="1" ht="14"/>
    <row r="933" s="115" customFormat="1" ht="14"/>
    <row r="934" s="115" customFormat="1" ht="14"/>
    <row r="935" s="115" customFormat="1" ht="14"/>
    <row r="936" s="115" customFormat="1" ht="14"/>
    <row r="937" s="115" customFormat="1" ht="14"/>
    <row r="938" s="115" customFormat="1" ht="14"/>
    <row r="939" s="115" customFormat="1" ht="14"/>
    <row r="940" s="115" customFormat="1" ht="14"/>
    <row r="941" s="115" customFormat="1" ht="14"/>
    <row r="942" s="115" customFormat="1" ht="14"/>
    <row r="943" s="115" customFormat="1" ht="14"/>
    <row r="944" s="115" customFormat="1" ht="14"/>
    <row r="945" s="115" customFormat="1" ht="14"/>
    <row r="946" s="115" customFormat="1" ht="14"/>
    <row r="947" s="115" customFormat="1" ht="14"/>
    <row r="948" s="115" customFormat="1" ht="14"/>
    <row r="949" s="115" customFormat="1" ht="14"/>
    <row r="950" s="115" customFormat="1" ht="14"/>
    <row r="951" s="115" customFormat="1" ht="14"/>
    <row r="952" s="115" customFormat="1" ht="14"/>
    <row r="953" s="115" customFormat="1" ht="14"/>
    <row r="954" s="115" customFormat="1" ht="14"/>
    <row r="955" s="115" customFormat="1" ht="14"/>
    <row r="956" s="115" customFormat="1" ht="14"/>
    <row r="957" s="115" customFormat="1" ht="14"/>
    <row r="958" s="115" customFormat="1" ht="14"/>
    <row r="959" s="115" customFormat="1" ht="14"/>
    <row r="960" s="115" customFormat="1" ht="14"/>
    <row r="961" s="115" customFormat="1" ht="14"/>
    <row r="962" s="115" customFormat="1" ht="14"/>
    <row r="963" s="115" customFormat="1" ht="14"/>
    <row r="964" s="115" customFormat="1" ht="14"/>
    <row r="965" s="115" customFormat="1" ht="14"/>
    <row r="966" s="115" customFormat="1" ht="14"/>
    <row r="967" s="115" customFormat="1" ht="14"/>
    <row r="968" s="115" customFormat="1" ht="14"/>
    <row r="969" s="115" customFormat="1" ht="14"/>
    <row r="970" s="115" customFormat="1" ht="14"/>
    <row r="971" s="115" customFormat="1" ht="14"/>
    <row r="972" s="115" customFormat="1" ht="14"/>
    <row r="973" s="115" customFormat="1" ht="14"/>
    <row r="974" s="115" customFormat="1" ht="14"/>
    <row r="975" s="115" customFormat="1" ht="14"/>
    <row r="976" s="115" customFormat="1" ht="14"/>
    <row r="977" s="115" customFormat="1" ht="14"/>
    <row r="978" s="115" customFormat="1" ht="14"/>
    <row r="979" s="115" customFormat="1" ht="14"/>
    <row r="980" s="115" customFormat="1" ht="14"/>
    <row r="981" s="115" customFormat="1" ht="14"/>
    <row r="982" s="115" customFormat="1" ht="14"/>
    <row r="983" s="115" customFormat="1" ht="14"/>
    <row r="984" s="115" customFormat="1" ht="14"/>
    <row r="985" s="115" customFormat="1" ht="14"/>
    <row r="986" s="115" customFormat="1" ht="14"/>
    <row r="987" s="115" customFormat="1" ht="14"/>
    <row r="988" s="115" customFormat="1" ht="14"/>
    <row r="989" s="115" customFormat="1" ht="14"/>
    <row r="990" s="115" customFormat="1" ht="14"/>
    <row r="991" s="115" customFormat="1" ht="14"/>
    <row r="992" s="115" customFormat="1" ht="14"/>
    <row r="993" s="115" customFormat="1" ht="14"/>
    <row r="994" s="115" customFormat="1" ht="14"/>
    <row r="995" s="115" customFormat="1" ht="14"/>
    <row r="996" s="115" customFormat="1" ht="14"/>
    <row r="997" s="115" customFormat="1" ht="14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8BF11-1838-4623-BBB0-4968067F8ADE}">
  <sheetPr>
    <tabColor theme="4"/>
  </sheetPr>
  <dimension ref="A1:AI997"/>
  <sheetViews>
    <sheetView showGridLines="0" workbookViewId="0">
      <pane xSplit="2" topLeftCell="C1" activePane="topRight" state="frozen"/>
      <selection pane="topRight"/>
    </sheetView>
  </sheetViews>
  <sheetFormatPr baseColWidth="10" defaultColWidth="12.5" defaultRowHeight="15.75" customHeight="1"/>
  <cols>
    <col min="1" max="1" width="28.1640625" style="115" customWidth="1"/>
    <col min="2" max="2" width="11.83203125" style="115" customWidth="1"/>
    <col min="3" max="3" width="19" style="115" customWidth="1"/>
    <col min="4" max="4" width="10.5" style="115" customWidth="1"/>
    <col min="5" max="5" width="8.5" style="115" customWidth="1"/>
    <col min="6" max="6" width="7.5" style="115" customWidth="1"/>
    <col min="7" max="7" width="9.5" style="115" customWidth="1"/>
    <col min="8" max="8" width="9" style="115" customWidth="1"/>
    <col min="9" max="9" width="6.83203125" style="115" customWidth="1"/>
    <col min="10" max="11" width="6.5" style="115" customWidth="1"/>
    <col min="12" max="12" width="7" style="115" customWidth="1"/>
    <col min="13" max="13" width="7.6640625" style="115" customWidth="1"/>
    <col min="14" max="15" width="7.1640625" style="115" customWidth="1"/>
    <col min="16" max="16" width="7.33203125" style="115" customWidth="1"/>
    <col min="17" max="18" width="6.5" style="115" customWidth="1"/>
    <col min="19" max="19" width="7.33203125" style="115" customWidth="1"/>
    <col min="20" max="20" width="7.5" style="115" customWidth="1"/>
    <col min="21" max="21" width="6.6640625" style="115" customWidth="1"/>
    <col min="22" max="22" width="7.1640625" style="115" customWidth="1"/>
    <col min="23" max="23" width="7.5" style="115" customWidth="1"/>
    <col min="24" max="24" width="9.33203125" style="115" customWidth="1"/>
    <col min="25" max="25" width="9.5" style="115" customWidth="1"/>
    <col min="26" max="26" width="9.33203125" style="115" customWidth="1"/>
    <col min="27" max="27" width="8.6640625" style="115" customWidth="1"/>
    <col min="28" max="28" width="15.33203125" style="115" customWidth="1"/>
    <col min="29" max="29" width="14" style="115" customWidth="1"/>
    <col min="30" max="30" width="7.5" style="115" customWidth="1"/>
    <col min="31" max="31" width="17.6640625" style="115" customWidth="1"/>
    <col min="32" max="35" width="7.5" style="115" customWidth="1"/>
    <col min="36" max="16384" width="12.5" style="115"/>
  </cols>
  <sheetData>
    <row r="1" spans="1:35" ht="15.75" customHeight="1">
      <c r="A1" s="107"/>
      <c r="B1" s="108"/>
      <c r="C1" s="109">
        <v>45901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54" t="s">
        <v>1</v>
      </c>
      <c r="B3" s="254" t="s">
        <v>2</v>
      </c>
      <c r="C3" s="254" t="s">
        <v>3</v>
      </c>
      <c r="D3" s="254" t="s">
        <v>4</v>
      </c>
      <c r="E3" s="259" t="s">
        <v>5</v>
      </c>
      <c r="F3" s="255"/>
      <c r="G3" s="255"/>
      <c r="H3" s="255"/>
      <c r="I3" s="141">
        <f>C1</f>
        <v>45901</v>
      </c>
      <c r="J3" s="141">
        <f t="shared" ref="J3:W3" si="0">I3+1</f>
        <v>45902</v>
      </c>
      <c r="K3" s="141">
        <f t="shared" si="0"/>
        <v>45903</v>
      </c>
      <c r="L3" s="141">
        <f t="shared" si="0"/>
        <v>45904</v>
      </c>
      <c r="M3" s="141">
        <f t="shared" si="0"/>
        <v>45905</v>
      </c>
      <c r="N3" s="141">
        <f t="shared" si="0"/>
        <v>45906</v>
      </c>
      <c r="O3" s="141">
        <f t="shared" si="0"/>
        <v>45907</v>
      </c>
      <c r="P3" s="141">
        <f t="shared" si="0"/>
        <v>45908</v>
      </c>
      <c r="Q3" s="141">
        <f t="shared" si="0"/>
        <v>45909</v>
      </c>
      <c r="R3" s="141">
        <f t="shared" si="0"/>
        <v>45910</v>
      </c>
      <c r="S3" s="141">
        <f t="shared" si="0"/>
        <v>45911</v>
      </c>
      <c r="T3" s="141">
        <f t="shared" si="0"/>
        <v>45912</v>
      </c>
      <c r="U3" s="141">
        <f t="shared" si="0"/>
        <v>45913</v>
      </c>
      <c r="V3" s="141">
        <f t="shared" si="0"/>
        <v>45914</v>
      </c>
      <c r="W3" s="141">
        <f t="shared" si="0"/>
        <v>45915</v>
      </c>
      <c r="X3" s="254" t="s">
        <v>6</v>
      </c>
      <c r="Y3" s="254" t="s">
        <v>7</v>
      </c>
      <c r="Z3" s="209"/>
      <c r="AA3" s="114"/>
      <c r="AB3" s="114"/>
    </row>
    <row r="4" spans="1:35" ht="27" customHeight="1">
      <c r="A4" s="255"/>
      <c r="B4" s="255"/>
      <c r="C4" s="255"/>
      <c r="D4" s="255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Mon</v>
      </c>
      <c r="J4" s="127" t="str">
        <f t="shared" si="1"/>
        <v>Tue</v>
      </c>
      <c r="K4" s="127" t="str">
        <f t="shared" si="1"/>
        <v>Wed</v>
      </c>
      <c r="L4" s="222" t="str">
        <f t="shared" si="1"/>
        <v>Thu</v>
      </c>
      <c r="M4" s="222" t="str">
        <f t="shared" si="1"/>
        <v>Fri</v>
      </c>
      <c r="N4" s="221" t="str">
        <f t="shared" si="1"/>
        <v>Sat</v>
      </c>
      <c r="O4" s="221" t="str">
        <f t="shared" si="1"/>
        <v>Sun</v>
      </c>
      <c r="P4" s="222" t="str">
        <f t="shared" si="1"/>
        <v>Mon</v>
      </c>
      <c r="Q4" s="222" t="str">
        <f t="shared" si="1"/>
        <v>Tue</v>
      </c>
      <c r="R4" s="222" t="str">
        <f t="shared" si="1"/>
        <v>Wed</v>
      </c>
      <c r="S4" s="222" t="str">
        <f t="shared" si="1"/>
        <v>Thu</v>
      </c>
      <c r="T4" s="222" t="str">
        <f t="shared" si="1"/>
        <v>Fri</v>
      </c>
      <c r="U4" s="222" t="str">
        <f t="shared" si="1"/>
        <v>Sat</v>
      </c>
      <c r="V4" s="222" t="str">
        <f t="shared" si="1"/>
        <v>Sun</v>
      </c>
      <c r="W4" s="222" t="str">
        <f t="shared" si="1"/>
        <v>Mon</v>
      </c>
      <c r="X4" s="255"/>
      <c r="Y4" s="255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88</v>
      </c>
      <c r="E5" s="134">
        <f t="shared" ref="E5:E10" si="3">Y5*8</f>
        <v>88</v>
      </c>
      <c r="F5" s="134">
        <f t="shared" ref="F5:F10" si="4">G5+H5</f>
        <v>88</v>
      </c>
      <c r="G5" s="134">
        <f t="shared" ref="G5:G10" si="5">SUM(I5:W5)</f>
        <v>88</v>
      </c>
      <c r="H5" s="135">
        <v>0</v>
      </c>
      <c r="I5" s="183">
        <v>8</v>
      </c>
      <c r="J5" s="183">
        <v>8</v>
      </c>
      <c r="K5" s="183">
        <v>8</v>
      </c>
      <c r="L5" s="183">
        <v>8</v>
      </c>
      <c r="M5" s="183">
        <v>8</v>
      </c>
      <c r="N5" s="200"/>
      <c r="O5" s="200"/>
      <c r="P5" s="183">
        <v>8</v>
      </c>
      <c r="Q5" s="183">
        <v>8</v>
      </c>
      <c r="R5" s="183">
        <v>8</v>
      </c>
      <c r="S5" s="183">
        <v>8</v>
      </c>
      <c r="T5" s="183">
        <v>8</v>
      </c>
      <c r="U5" s="200"/>
      <c r="V5" s="200"/>
      <c r="W5" s="183">
        <v>8</v>
      </c>
      <c r="X5" s="134">
        <f>Y5-COUNTA(I5:W5)</f>
        <v>0</v>
      </c>
      <c r="Y5" s="136">
        <v>11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88</v>
      </c>
      <c r="E6" s="134">
        <f t="shared" si="3"/>
        <v>88</v>
      </c>
      <c r="F6" s="134">
        <f t="shared" si="4"/>
        <v>80</v>
      </c>
      <c r="G6" s="134">
        <f t="shared" si="5"/>
        <v>80</v>
      </c>
      <c r="H6" s="135">
        <v>0</v>
      </c>
      <c r="I6" s="183">
        <v>8</v>
      </c>
      <c r="J6" s="183">
        <v>8</v>
      </c>
      <c r="K6" s="183">
        <v>8</v>
      </c>
      <c r="L6" s="183">
        <v>8</v>
      </c>
      <c r="M6" s="183">
        <v>8</v>
      </c>
      <c r="N6" s="200"/>
      <c r="O6" s="200"/>
      <c r="P6" s="183">
        <v>8</v>
      </c>
      <c r="Q6" s="183">
        <v>8</v>
      </c>
      <c r="R6" s="183">
        <v>8</v>
      </c>
      <c r="S6" s="183">
        <v>8</v>
      </c>
      <c r="T6" s="183">
        <v>8</v>
      </c>
      <c r="U6" s="200"/>
      <c r="V6" s="200"/>
      <c r="W6" s="236"/>
      <c r="X6" s="134">
        <f t="shared" ref="X6:X14" si="6">Y6-COUNTA(I6:W6)</f>
        <v>1</v>
      </c>
      <c r="Y6" s="136">
        <v>11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88</v>
      </c>
      <c r="E7" s="134">
        <f t="shared" si="3"/>
        <v>88</v>
      </c>
      <c r="F7" s="134">
        <f t="shared" si="4"/>
        <v>80</v>
      </c>
      <c r="G7" s="134">
        <f t="shared" si="5"/>
        <v>80</v>
      </c>
      <c r="H7" s="135">
        <v>0</v>
      </c>
      <c r="I7" s="183">
        <v>8</v>
      </c>
      <c r="J7" s="183">
        <v>8</v>
      </c>
      <c r="K7" s="183">
        <v>8</v>
      </c>
      <c r="L7" s="183">
        <v>8</v>
      </c>
      <c r="M7" s="183">
        <v>8</v>
      </c>
      <c r="N7" s="200"/>
      <c r="O7" s="200"/>
      <c r="P7" s="183">
        <v>8</v>
      </c>
      <c r="Q7" s="183">
        <v>8</v>
      </c>
      <c r="R7" s="236"/>
      <c r="S7" s="183">
        <v>8</v>
      </c>
      <c r="T7" s="183">
        <v>8</v>
      </c>
      <c r="U7" s="200"/>
      <c r="V7" s="200"/>
      <c r="W7" s="183">
        <v>8</v>
      </c>
      <c r="X7" s="134">
        <f t="shared" si="6"/>
        <v>1</v>
      </c>
      <c r="Y7" s="136">
        <v>11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88</v>
      </c>
      <c r="E8" s="134">
        <f t="shared" si="3"/>
        <v>88</v>
      </c>
      <c r="F8" s="134">
        <f t="shared" si="4"/>
        <v>88</v>
      </c>
      <c r="G8" s="134">
        <f t="shared" si="5"/>
        <v>88</v>
      </c>
      <c r="H8" s="135">
        <v>0</v>
      </c>
      <c r="I8" s="183">
        <v>8</v>
      </c>
      <c r="J8" s="183">
        <v>8</v>
      </c>
      <c r="K8" s="183">
        <v>8</v>
      </c>
      <c r="L8" s="183">
        <v>8</v>
      </c>
      <c r="M8" s="183">
        <v>8</v>
      </c>
      <c r="N8" s="200"/>
      <c r="O8" s="200"/>
      <c r="P8" s="183">
        <v>8</v>
      </c>
      <c r="Q8" s="183">
        <v>8</v>
      </c>
      <c r="R8" s="183">
        <v>8</v>
      </c>
      <c r="S8" s="183">
        <v>8</v>
      </c>
      <c r="T8" s="183">
        <v>8</v>
      </c>
      <c r="U8" s="200"/>
      <c r="V8" s="200"/>
      <c r="W8" s="183">
        <v>8</v>
      </c>
      <c r="X8" s="134">
        <f t="shared" si="6"/>
        <v>0</v>
      </c>
      <c r="Y8" s="136">
        <v>11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88</v>
      </c>
      <c r="E9" s="134">
        <f t="shared" si="3"/>
        <v>88</v>
      </c>
      <c r="F9" s="134">
        <f t="shared" si="4"/>
        <v>80</v>
      </c>
      <c r="G9" s="134">
        <f t="shared" si="5"/>
        <v>80</v>
      </c>
      <c r="H9" s="135">
        <v>0</v>
      </c>
      <c r="I9" s="183">
        <v>8</v>
      </c>
      <c r="J9" s="183">
        <v>8</v>
      </c>
      <c r="K9" s="183">
        <v>8</v>
      </c>
      <c r="L9" s="183">
        <v>8</v>
      </c>
      <c r="M9" s="183">
        <v>8</v>
      </c>
      <c r="N9" s="200"/>
      <c r="O9" s="200"/>
      <c r="P9" s="236"/>
      <c r="Q9" s="183">
        <v>8</v>
      </c>
      <c r="R9" s="183">
        <v>8</v>
      </c>
      <c r="S9" s="183">
        <v>8</v>
      </c>
      <c r="T9" s="183">
        <v>8</v>
      </c>
      <c r="U9" s="200"/>
      <c r="V9" s="200"/>
      <c r="W9" s="183">
        <v>8</v>
      </c>
      <c r="X9" s="134">
        <f t="shared" si="6"/>
        <v>1</v>
      </c>
      <c r="Y9" s="136">
        <v>11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88</v>
      </c>
      <c r="E10" s="134">
        <f t="shared" si="3"/>
        <v>88</v>
      </c>
      <c r="F10" s="134">
        <f t="shared" si="4"/>
        <v>88</v>
      </c>
      <c r="G10" s="134">
        <f t="shared" si="5"/>
        <v>88</v>
      </c>
      <c r="H10" s="135">
        <v>0</v>
      </c>
      <c r="I10" s="183">
        <v>8</v>
      </c>
      <c r="J10" s="183">
        <v>8</v>
      </c>
      <c r="K10" s="183">
        <v>8</v>
      </c>
      <c r="L10" s="183">
        <v>8</v>
      </c>
      <c r="M10" s="183">
        <v>8</v>
      </c>
      <c r="N10" s="200"/>
      <c r="O10" s="200"/>
      <c r="P10" s="183">
        <v>8</v>
      </c>
      <c r="Q10" s="183">
        <v>8</v>
      </c>
      <c r="R10" s="183">
        <v>8</v>
      </c>
      <c r="S10" s="183">
        <v>8</v>
      </c>
      <c r="T10" s="183">
        <v>8</v>
      </c>
      <c r="U10" s="200"/>
      <c r="V10" s="200"/>
      <c r="W10" s="183">
        <v>8</v>
      </c>
      <c r="X10" s="134">
        <f t="shared" si="6"/>
        <v>0</v>
      </c>
      <c r="Y10" s="136">
        <v>11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528</v>
      </c>
      <c r="E15" s="224">
        <f t="shared" si="8"/>
        <v>528</v>
      </c>
      <c r="F15" s="224">
        <f t="shared" si="8"/>
        <v>504</v>
      </c>
      <c r="G15" s="224">
        <f t="shared" si="8"/>
        <v>504</v>
      </c>
      <c r="H15" s="224">
        <f t="shared" si="8"/>
        <v>0</v>
      </c>
      <c r="I15" s="224">
        <f t="shared" si="8"/>
        <v>48</v>
      </c>
      <c r="J15" s="224">
        <f t="shared" si="8"/>
        <v>48</v>
      </c>
      <c r="K15" s="224">
        <f t="shared" si="8"/>
        <v>48</v>
      </c>
      <c r="L15" s="224">
        <f t="shared" si="8"/>
        <v>48</v>
      </c>
      <c r="M15" s="224">
        <f t="shared" si="8"/>
        <v>48</v>
      </c>
      <c r="N15" s="224">
        <f t="shared" si="8"/>
        <v>0</v>
      </c>
      <c r="O15" s="224">
        <f t="shared" si="8"/>
        <v>0</v>
      </c>
      <c r="P15" s="224">
        <f t="shared" si="8"/>
        <v>40</v>
      </c>
      <c r="Q15" s="224">
        <f t="shared" si="8"/>
        <v>48</v>
      </c>
      <c r="R15" s="224">
        <f t="shared" si="8"/>
        <v>40</v>
      </c>
      <c r="S15" s="224">
        <f t="shared" si="8"/>
        <v>48</v>
      </c>
      <c r="T15" s="224">
        <f t="shared" si="8"/>
        <v>48</v>
      </c>
      <c r="U15" s="224">
        <f t="shared" si="8"/>
        <v>0</v>
      </c>
      <c r="V15" s="224">
        <f t="shared" si="8"/>
        <v>0</v>
      </c>
      <c r="W15" s="224">
        <f t="shared" si="8"/>
        <v>40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54" t="s">
        <v>1</v>
      </c>
      <c r="B18" s="254" t="s">
        <v>2</v>
      </c>
      <c r="C18" s="254" t="s">
        <v>3</v>
      </c>
      <c r="D18" s="254" t="s">
        <v>4</v>
      </c>
      <c r="E18" s="259" t="s">
        <v>5</v>
      </c>
      <c r="F18" s="255"/>
      <c r="G18" s="255"/>
      <c r="H18" s="255"/>
      <c r="I18" s="141">
        <f>W3+1</f>
        <v>45916</v>
      </c>
      <c r="J18" s="141">
        <f t="shared" ref="J18:W18" si="9">I18+1</f>
        <v>45917</v>
      </c>
      <c r="K18" s="141">
        <f t="shared" si="9"/>
        <v>45918</v>
      </c>
      <c r="L18" s="141">
        <f t="shared" si="9"/>
        <v>45919</v>
      </c>
      <c r="M18" s="141">
        <f t="shared" si="9"/>
        <v>45920</v>
      </c>
      <c r="N18" s="141">
        <f t="shared" si="9"/>
        <v>45921</v>
      </c>
      <c r="O18" s="141">
        <f t="shared" si="9"/>
        <v>45922</v>
      </c>
      <c r="P18" s="141">
        <f t="shared" si="9"/>
        <v>45923</v>
      </c>
      <c r="Q18" s="141">
        <f t="shared" si="9"/>
        <v>45924</v>
      </c>
      <c r="R18" s="141">
        <f t="shared" si="9"/>
        <v>45925</v>
      </c>
      <c r="S18" s="141">
        <f t="shared" si="9"/>
        <v>45926</v>
      </c>
      <c r="T18" s="141">
        <f t="shared" si="9"/>
        <v>45927</v>
      </c>
      <c r="U18" s="141">
        <f t="shared" si="9"/>
        <v>45928</v>
      </c>
      <c r="V18" s="141">
        <f t="shared" si="9"/>
        <v>45929</v>
      </c>
      <c r="W18" s="141">
        <f t="shared" si="9"/>
        <v>45930</v>
      </c>
      <c r="X18" s="141"/>
      <c r="Y18" s="254" t="s">
        <v>6</v>
      </c>
      <c r="Z18" s="254" t="s">
        <v>7</v>
      </c>
      <c r="AA18" s="209"/>
      <c r="AB18" s="114"/>
    </row>
    <row r="19" spans="1:29" ht="26.25" customHeight="1">
      <c r="A19" s="255"/>
      <c r="B19" s="255"/>
      <c r="C19" s="255"/>
      <c r="D19" s="255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X19" si="10">IF(I18="","",TEXT(WEEKDAY(I18), "ddd"))</f>
        <v>Tue</v>
      </c>
      <c r="J19" s="222" t="str">
        <f t="shared" si="10"/>
        <v>Wed</v>
      </c>
      <c r="K19" s="222" t="str">
        <f t="shared" si="10"/>
        <v>Thu</v>
      </c>
      <c r="L19" s="222" t="str">
        <f t="shared" si="10"/>
        <v>Fri</v>
      </c>
      <c r="M19" s="222" t="str">
        <f t="shared" si="10"/>
        <v>Sat</v>
      </c>
      <c r="N19" s="222" t="str">
        <f t="shared" si="10"/>
        <v>Sun</v>
      </c>
      <c r="O19" s="222" t="str">
        <f t="shared" si="10"/>
        <v>Mon</v>
      </c>
      <c r="P19" s="127" t="str">
        <f t="shared" si="10"/>
        <v>Tue</v>
      </c>
      <c r="Q19" s="127" t="str">
        <f t="shared" si="10"/>
        <v>Wed</v>
      </c>
      <c r="R19" s="222" t="str">
        <f t="shared" si="10"/>
        <v>Thu</v>
      </c>
      <c r="S19" s="222" t="str">
        <f t="shared" si="10"/>
        <v>Fri</v>
      </c>
      <c r="T19" s="222" t="str">
        <f t="shared" si="10"/>
        <v>Sat</v>
      </c>
      <c r="U19" s="222" t="str">
        <f t="shared" si="10"/>
        <v>Sun</v>
      </c>
      <c r="V19" s="222" t="str">
        <f t="shared" si="10"/>
        <v>Mon</v>
      </c>
      <c r="W19" s="127" t="str">
        <f t="shared" si="10"/>
        <v>Tue</v>
      </c>
      <c r="X19" s="127" t="str">
        <f t="shared" si="10"/>
        <v/>
      </c>
      <c r="Y19" s="255"/>
      <c r="Z19" s="255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88</v>
      </c>
      <c r="E20" s="134">
        <f t="shared" ref="E20:E25" si="12">Z20*8</f>
        <v>88</v>
      </c>
      <c r="F20" s="134">
        <f t="shared" ref="F20:F25" si="13">G20+H20</f>
        <v>64</v>
      </c>
      <c r="G20" s="134">
        <f t="shared" ref="G20:G25" si="14">SUM(I20:X20)</f>
        <v>64</v>
      </c>
      <c r="H20" s="135">
        <v>0</v>
      </c>
      <c r="I20" s="180">
        <v>8</v>
      </c>
      <c r="J20" s="180">
        <v>8</v>
      </c>
      <c r="K20" s="180">
        <v>8</v>
      </c>
      <c r="L20" s="180">
        <v>8</v>
      </c>
      <c r="M20" s="199"/>
      <c r="N20" s="199"/>
      <c r="O20" s="180">
        <v>8</v>
      </c>
      <c r="P20" s="180">
        <v>8</v>
      </c>
      <c r="Q20" s="236"/>
      <c r="R20" s="180">
        <v>8</v>
      </c>
      <c r="S20" s="180">
        <v>8</v>
      </c>
      <c r="T20" s="199"/>
      <c r="U20" s="199"/>
      <c r="V20" s="236"/>
      <c r="W20" s="236"/>
      <c r="X20" s="180"/>
      <c r="Y20" s="134">
        <f t="shared" ref="Y20:Y25" si="15">Z20-COUNTA(I20:X20)</f>
        <v>3</v>
      </c>
      <c r="Z20" s="136">
        <v>11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88</v>
      </c>
      <c r="E21" s="134">
        <f t="shared" si="12"/>
        <v>88</v>
      </c>
      <c r="F21" s="134">
        <f t="shared" si="13"/>
        <v>88</v>
      </c>
      <c r="G21" s="134">
        <f t="shared" si="14"/>
        <v>88</v>
      </c>
      <c r="H21" s="135">
        <v>0</v>
      </c>
      <c r="I21" s="180">
        <v>8</v>
      </c>
      <c r="J21" s="180">
        <v>8</v>
      </c>
      <c r="K21" s="180">
        <v>8</v>
      </c>
      <c r="L21" s="180">
        <v>8</v>
      </c>
      <c r="M21" s="199"/>
      <c r="N21" s="199"/>
      <c r="O21" s="183">
        <v>8</v>
      </c>
      <c r="P21" s="180">
        <v>8</v>
      </c>
      <c r="Q21" s="180">
        <v>8</v>
      </c>
      <c r="R21" s="183">
        <v>8</v>
      </c>
      <c r="S21" s="180">
        <v>8</v>
      </c>
      <c r="T21" s="199"/>
      <c r="U21" s="199"/>
      <c r="V21" s="183">
        <v>8</v>
      </c>
      <c r="W21" s="180">
        <v>8</v>
      </c>
      <c r="X21" s="180"/>
      <c r="Y21" s="134">
        <f t="shared" si="15"/>
        <v>0</v>
      </c>
      <c r="Z21" s="136">
        <v>11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88</v>
      </c>
      <c r="E22" s="134">
        <f t="shared" si="12"/>
        <v>88</v>
      </c>
      <c r="F22" s="134">
        <f t="shared" si="13"/>
        <v>88</v>
      </c>
      <c r="G22" s="134">
        <f t="shared" si="14"/>
        <v>88</v>
      </c>
      <c r="H22" s="135">
        <v>0</v>
      </c>
      <c r="I22" s="180">
        <v>8</v>
      </c>
      <c r="J22" s="180">
        <v>8</v>
      </c>
      <c r="K22" s="180">
        <v>8</v>
      </c>
      <c r="L22" s="180">
        <v>8</v>
      </c>
      <c r="M22" s="199"/>
      <c r="N22" s="199"/>
      <c r="O22" s="180">
        <v>8</v>
      </c>
      <c r="P22" s="180">
        <v>8</v>
      </c>
      <c r="Q22" s="180">
        <v>8</v>
      </c>
      <c r="R22" s="180">
        <v>8</v>
      </c>
      <c r="S22" s="180">
        <v>8</v>
      </c>
      <c r="T22" s="199"/>
      <c r="U22" s="199"/>
      <c r="V22" s="180">
        <v>8</v>
      </c>
      <c r="W22" s="180">
        <v>8</v>
      </c>
      <c r="X22" s="180"/>
      <c r="Y22" s="134">
        <f t="shared" si="15"/>
        <v>0</v>
      </c>
      <c r="Z22" s="136">
        <v>11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88</v>
      </c>
      <c r="E23" s="134">
        <f t="shared" si="12"/>
        <v>88</v>
      </c>
      <c r="F23" s="134">
        <f t="shared" si="13"/>
        <v>80</v>
      </c>
      <c r="G23" s="134">
        <f t="shared" si="14"/>
        <v>80</v>
      </c>
      <c r="H23" s="135">
        <v>0</v>
      </c>
      <c r="I23" s="180">
        <v>8</v>
      </c>
      <c r="J23" s="180">
        <v>8</v>
      </c>
      <c r="K23" s="180">
        <v>8</v>
      </c>
      <c r="L23" s="180">
        <v>8</v>
      </c>
      <c r="M23" s="199"/>
      <c r="N23" s="199"/>
      <c r="O23" s="183">
        <v>8</v>
      </c>
      <c r="P23" s="180">
        <v>8</v>
      </c>
      <c r="Q23" s="180">
        <v>8</v>
      </c>
      <c r="R23" s="183">
        <v>8</v>
      </c>
      <c r="S23" s="180">
        <v>8</v>
      </c>
      <c r="T23" s="199"/>
      <c r="U23" s="199"/>
      <c r="V23" s="236"/>
      <c r="W23" s="180">
        <v>8</v>
      </c>
      <c r="X23" s="180"/>
      <c r="Y23" s="134"/>
      <c r="Z23" s="136">
        <v>11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88</v>
      </c>
      <c r="E24" s="134">
        <f t="shared" si="12"/>
        <v>88</v>
      </c>
      <c r="F24" s="134">
        <f t="shared" si="13"/>
        <v>88</v>
      </c>
      <c r="G24" s="134">
        <f t="shared" si="14"/>
        <v>88</v>
      </c>
      <c r="H24" s="135">
        <v>0</v>
      </c>
      <c r="I24" s="180">
        <v>8</v>
      </c>
      <c r="J24" s="180">
        <v>8</v>
      </c>
      <c r="K24" s="180">
        <v>8</v>
      </c>
      <c r="L24" s="180">
        <v>8</v>
      </c>
      <c r="M24" s="199"/>
      <c r="N24" s="199"/>
      <c r="O24" s="180">
        <v>8</v>
      </c>
      <c r="P24" s="180">
        <v>8</v>
      </c>
      <c r="Q24" s="180">
        <v>8</v>
      </c>
      <c r="R24" s="180">
        <v>8</v>
      </c>
      <c r="S24" s="180">
        <v>8</v>
      </c>
      <c r="T24" s="199"/>
      <c r="U24" s="199"/>
      <c r="V24" s="180">
        <v>8</v>
      </c>
      <c r="W24" s="180">
        <v>8</v>
      </c>
      <c r="X24" s="180"/>
      <c r="Y24" s="134">
        <f t="shared" si="15"/>
        <v>0</v>
      </c>
      <c r="Z24" s="136">
        <v>11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88</v>
      </c>
      <c r="E25" s="134">
        <f t="shared" si="12"/>
        <v>88</v>
      </c>
      <c r="F25" s="134">
        <f t="shared" si="13"/>
        <v>80</v>
      </c>
      <c r="G25" s="134">
        <f t="shared" si="14"/>
        <v>80</v>
      </c>
      <c r="H25" s="135">
        <v>0</v>
      </c>
      <c r="I25" s="183">
        <v>8</v>
      </c>
      <c r="J25" s="183">
        <v>8</v>
      </c>
      <c r="K25" s="183">
        <v>8</v>
      </c>
      <c r="L25" s="236"/>
      <c r="M25" s="200"/>
      <c r="N25" s="200"/>
      <c r="O25" s="183">
        <v>8</v>
      </c>
      <c r="P25" s="183">
        <v>8</v>
      </c>
      <c r="Q25" s="183">
        <v>8</v>
      </c>
      <c r="R25" s="183">
        <v>8</v>
      </c>
      <c r="S25" s="183">
        <v>8</v>
      </c>
      <c r="T25" s="200"/>
      <c r="U25" s="200"/>
      <c r="V25" s="183">
        <v>8</v>
      </c>
      <c r="W25" s="183">
        <v>8</v>
      </c>
      <c r="X25" s="180"/>
      <c r="Y25" s="134">
        <f t="shared" si="15"/>
        <v>1</v>
      </c>
      <c r="Z25" s="136">
        <v>11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528</v>
      </c>
      <c r="E30" s="224">
        <f t="shared" si="16"/>
        <v>528</v>
      </c>
      <c r="F30" s="224">
        <f t="shared" si="16"/>
        <v>488</v>
      </c>
      <c r="G30" s="224">
        <f t="shared" si="16"/>
        <v>488</v>
      </c>
      <c r="H30" s="224">
        <f t="shared" si="16"/>
        <v>0</v>
      </c>
      <c r="I30" s="224">
        <f t="shared" si="16"/>
        <v>48</v>
      </c>
      <c r="J30" s="224">
        <f t="shared" si="16"/>
        <v>48</v>
      </c>
      <c r="K30" s="224">
        <f t="shared" si="16"/>
        <v>48</v>
      </c>
      <c r="L30" s="224">
        <f t="shared" si="16"/>
        <v>40</v>
      </c>
      <c r="M30" s="224">
        <f t="shared" si="16"/>
        <v>0</v>
      </c>
      <c r="N30" s="224">
        <f t="shared" si="16"/>
        <v>0</v>
      </c>
      <c r="O30" s="224">
        <f t="shared" si="16"/>
        <v>48</v>
      </c>
      <c r="P30" s="224">
        <f t="shared" si="16"/>
        <v>48</v>
      </c>
      <c r="Q30" s="224">
        <f t="shared" si="16"/>
        <v>40</v>
      </c>
      <c r="R30" s="224">
        <f t="shared" si="16"/>
        <v>48</v>
      </c>
      <c r="S30" s="224">
        <f t="shared" si="16"/>
        <v>48</v>
      </c>
      <c r="T30" s="224">
        <f t="shared" si="16"/>
        <v>0</v>
      </c>
      <c r="U30" s="224">
        <f t="shared" si="16"/>
        <v>0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152</v>
      </c>
      <c r="C34" s="154">
        <f t="shared" ref="C34:C39" si="17">E5+E20</f>
        <v>176</v>
      </c>
      <c r="D34" s="155">
        <f t="shared" ref="D34:D39" si="18">B34</f>
        <v>152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168</v>
      </c>
      <c r="C35" s="154">
        <f t="shared" si="17"/>
        <v>176</v>
      </c>
      <c r="D35" s="155">
        <f t="shared" si="18"/>
        <v>168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168</v>
      </c>
      <c r="C36" s="154">
        <f t="shared" si="17"/>
        <v>176</v>
      </c>
      <c r="D36" s="155">
        <f t="shared" si="18"/>
        <v>168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168</v>
      </c>
      <c r="C37" s="154">
        <f t="shared" si="17"/>
        <v>176</v>
      </c>
      <c r="D37" s="155">
        <f t="shared" si="18"/>
        <v>168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168</v>
      </c>
      <c r="C38" s="217">
        <f t="shared" si="17"/>
        <v>176</v>
      </c>
      <c r="D38" s="218">
        <f t="shared" si="18"/>
        <v>168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168</v>
      </c>
      <c r="C39" s="159">
        <f t="shared" si="17"/>
        <v>176</v>
      </c>
      <c r="D39" s="160">
        <f t="shared" si="18"/>
        <v>168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6" t="s">
        <v>0</v>
      </c>
      <c r="B46" s="257"/>
      <c r="C46" s="258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11</v>
      </c>
      <c r="C50" s="173">
        <f t="shared" si="20"/>
        <v>88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6" t="s">
        <v>22</v>
      </c>
      <c r="B53" s="257"/>
      <c r="C53" s="258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1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11</v>
      </c>
      <c r="C57" s="173">
        <f t="shared" si="22"/>
        <v>88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176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4"/>
    <row r="261" s="115" customFormat="1" ht="14"/>
    <row r="262" s="115" customFormat="1" ht="14"/>
    <row r="263" s="115" customFormat="1" ht="14"/>
    <row r="264" s="115" customFormat="1" ht="14"/>
    <row r="265" s="115" customFormat="1" ht="14"/>
    <row r="266" s="115" customFormat="1" ht="14"/>
    <row r="267" s="115" customFormat="1" ht="14"/>
    <row r="268" s="115" customFormat="1" ht="14"/>
    <row r="269" s="115" customFormat="1" ht="14"/>
    <row r="270" s="115" customFormat="1" ht="14"/>
    <row r="271" s="115" customFormat="1" ht="14"/>
    <row r="272" s="115" customFormat="1" ht="14"/>
    <row r="273" s="115" customFormat="1" ht="14"/>
    <row r="274" s="115" customFormat="1" ht="14"/>
    <row r="275" s="115" customFormat="1" ht="14"/>
    <row r="276" s="115" customFormat="1" ht="14"/>
    <row r="277" s="115" customFormat="1" ht="14"/>
    <row r="278" s="115" customFormat="1" ht="14"/>
    <row r="279" s="115" customFormat="1" ht="14"/>
    <row r="280" s="115" customFormat="1" ht="14"/>
    <row r="281" s="115" customFormat="1" ht="14"/>
    <row r="282" s="115" customFormat="1" ht="14"/>
    <row r="283" s="115" customFormat="1" ht="14"/>
    <row r="284" s="115" customFormat="1" ht="14"/>
    <row r="285" s="115" customFormat="1" ht="14"/>
    <row r="286" s="115" customFormat="1" ht="14"/>
    <row r="287" s="115" customFormat="1" ht="14"/>
    <row r="288" s="115" customFormat="1" ht="14"/>
    <row r="289" s="115" customFormat="1" ht="14"/>
    <row r="290" s="115" customFormat="1" ht="14"/>
    <row r="291" s="115" customFormat="1" ht="14"/>
    <row r="292" s="115" customFormat="1" ht="14"/>
    <row r="293" s="115" customFormat="1" ht="14"/>
    <row r="294" s="115" customFormat="1" ht="14"/>
    <row r="295" s="115" customFormat="1" ht="14"/>
    <row r="296" s="115" customFormat="1" ht="14"/>
    <row r="297" s="115" customFormat="1" ht="14"/>
    <row r="298" s="115" customFormat="1" ht="14"/>
    <row r="299" s="115" customFormat="1" ht="14"/>
    <row r="300" s="115" customFormat="1" ht="14"/>
    <row r="301" s="115" customFormat="1" ht="14"/>
    <row r="302" s="115" customFormat="1" ht="14"/>
    <row r="303" s="115" customFormat="1" ht="14"/>
    <row r="304" s="115" customFormat="1" ht="14"/>
    <row r="305" s="115" customFormat="1" ht="14"/>
    <row r="306" s="115" customFormat="1" ht="14"/>
    <row r="307" s="115" customFormat="1" ht="14"/>
    <row r="308" s="115" customFormat="1" ht="14"/>
    <row r="309" s="115" customFormat="1" ht="14"/>
    <row r="310" s="115" customFormat="1" ht="14"/>
    <row r="311" s="115" customFormat="1" ht="14"/>
    <row r="312" s="115" customFormat="1" ht="14"/>
    <row r="313" s="115" customFormat="1" ht="14"/>
    <row r="314" s="115" customFormat="1" ht="14"/>
    <row r="315" s="115" customFormat="1" ht="14"/>
    <row r="316" s="115" customFormat="1" ht="14"/>
    <row r="317" s="115" customFormat="1" ht="14"/>
    <row r="318" s="115" customFormat="1" ht="14"/>
    <row r="319" s="115" customFormat="1" ht="14"/>
    <row r="320" s="115" customFormat="1" ht="14"/>
    <row r="321" s="115" customFormat="1" ht="14"/>
    <row r="322" s="115" customFormat="1" ht="14"/>
    <row r="323" s="115" customFormat="1" ht="14"/>
    <row r="324" s="115" customFormat="1" ht="14"/>
    <row r="325" s="115" customFormat="1" ht="14"/>
    <row r="326" s="115" customFormat="1" ht="14"/>
    <row r="327" s="115" customFormat="1" ht="14"/>
    <row r="328" s="115" customFormat="1" ht="14"/>
    <row r="329" s="115" customFormat="1" ht="14"/>
    <row r="330" s="115" customFormat="1" ht="14"/>
    <row r="331" s="115" customFormat="1" ht="14"/>
    <row r="332" s="115" customFormat="1" ht="14"/>
    <row r="333" s="115" customFormat="1" ht="14"/>
    <row r="334" s="115" customFormat="1" ht="14"/>
    <row r="335" s="115" customFormat="1" ht="14"/>
    <row r="336" s="115" customFormat="1" ht="14"/>
    <row r="337" s="115" customFormat="1" ht="14"/>
    <row r="338" s="115" customFormat="1" ht="14"/>
    <row r="339" s="115" customFormat="1" ht="14"/>
    <row r="340" s="115" customFormat="1" ht="14"/>
    <row r="341" s="115" customFormat="1" ht="14"/>
    <row r="342" s="115" customFormat="1" ht="14"/>
    <row r="343" s="115" customFormat="1" ht="14"/>
    <row r="344" s="115" customFormat="1" ht="14"/>
    <row r="345" s="115" customFormat="1" ht="14"/>
    <row r="346" s="115" customFormat="1" ht="14"/>
    <row r="347" s="115" customFormat="1" ht="14"/>
    <row r="348" s="115" customFormat="1" ht="14"/>
    <row r="349" s="115" customFormat="1" ht="14"/>
    <row r="350" s="115" customFormat="1" ht="14"/>
    <row r="351" s="115" customFormat="1" ht="14"/>
    <row r="352" s="115" customFormat="1" ht="14"/>
    <row r="353" s="115" customFormat="1" ht="14"/>
    <row r="354" s="115" customFormat="1" ht="14"/>
    <row r="355" s="115" customFormat="1" ht="14"/>
    <row r="356" s="115" customFormat="1" ht="14"/>
    <row r="357" s="115" customFormat="1" ht="14"/>
    <row r="358" s="115" customFormat="1" ht="14"/>
    <row r="359" s="115" customFormat="1" ht="14"/>
    <row r="360" s="115" customFormat="1" ht="14"/>
    <row r="361" s="115" customFormat="1" ht="14"/>
    <row r="362" s="115" customFormat="1" ht="14"/>
    <row r="363" s="115" customFormat="1" ht="14"/>
    <row r="364" s="115" customFormat="1" ht="14"/>
    <row r="365" s="115" customFormat="1" ht="14"/>
    <row r="366" s="115" customFormat="1" ht="14"/>
    <row r="367" s="115" customFormat="1" ht="14"/>
    <row r="368" s="115" customFormat="1" ht="14"/>
    <row r="369" s="115" customFormat="1" ht="14"/>
    <row r="370" s="115" customFormat="1" ht="14"/>
    <row r="371" s="115" customFormat="1" ht="14"/>
    <row r="372" s="115" customFormat="1" ht="14"/>
    <row r="373" s="115" customFormat="1" ht="14"/>
    <row r="374" s="115" customFormat="1" ht="14"/>
    <row r="375" s="115" customFormat="1" ht="14"/>
    <row r="376" s="115" customFormat="1" ht="14"/>
    <row r="377" s="115" customFormat="1" ht="14"/>
    <row r="378" s="115" customFormat="1" ht="14"/>
    <row r="379" s="115" customFormat="1" ht="14"/>
    <row r="380" s="115" customFormat="1" ht="14"/>
    <row r="381" s="115" customFormat="1" ht="14"/>
    <row r="382" s="115" customFormat="1" ht="14"/>
    <row r="383" s="115" customFormat="1" ht="14"/>
    <row r="384" s="115" customFormat="1" ht="14"/>
    <row r="385" s="115" customFormat="1" ht="14"/>
    <row r="386" s="115" customFormat="1" ht="14"/>
    <row r="387" s="115" customFormat="1" ht="14"/>
    <row r="388" s="115" customFormat="1" ht="14"/>
    <row r="389" s="115" customFormat="1" ht="14"/>
    <row r="390" s="115" customFormat="1" ht="14"/>
    <row r="391" s="115" customFormat="1" ht="14"/>
    <row r="392" s="115" customFormat="1" ht="14"/>
    <row r="393" s="115" customFormat="1" ht="14"/>
    <row r="394" s="115" customFormat="1" ht="14"/>
    <row r="395" s="115" customFormat="1" ht="14"/>
    <row r="396" s="115" customFormat="1" ht="14"/>
    <row r="397" s="115" customFormat="1" ht="14"/>
    <row r="398" s="115" customFormat="1" ht="14"/>
    <row r="399" s="115" customFormat="1" ht="14"/>
    <row r="400" s="115" customFormat="1" ht="14"/>
    <row r="401" s="115" customFormat="1" ht="14"/>
    <row r="402" s="115" customFormat="1" ht="14"/>
    <row r="403" s="115" customFormat="1" ht="14"/>
    <row r="404" s="115" customFormat="1" ht="14"/>
    <row r="405" s="115" customFormat="1" ht="14"/>
    <row r="406" s="115" customFormat="1" ht="14"/>
    <row r="407" s="115" customFormat="1" ht="14"/>
    <row r="408" s="115" customFormat="1" ht="14"/>
    <row r="409" s="115" customFormat="1" ht="14"/>
    <row r="410" s="115" customFormat="1" ht="14"/>
    <row r="411" s="115" customFormat="1" ht="14"/>
    <row r="412" s="115" customFormat="1" ht="14"/>
    <row r="413" s="115" customFormat="1" ht="14"/>
    <row r="414" s="115" customFormat="1" ht="14"/>
    <row r="415" s="115" customFormat="1" ht="14"/>
    <row r="416" s="115" customFormat="1" ht="14"/>
    <row r="417" s="115" customFormat="1" ht="14"/>
    <row r="418" s="115" customFormat="1" ht="14"/>
    <row r="419" s="115" customFormat="1" ht="14"/>
    <row r="420" s="115" customFormat="1" ht="14"/>
    <row r="421" s="115" customFormat="1" ht="14"/>
    <row r="422" s="115" customFormat="1" ht="14"/>
    <row r="423" s="115" customFormat="1" ht="14"/>
    <row r="424" s="115" customFormat="1" ht="14"/>
    <row r="425" s="115" customFormat="1" ht="14"/>
    <row r="426" s="115" customFormat="1" ht="14"/>
    <row r="427" s="115" customFormat="1" ht="14"/>
    <row r="428" s="115" customFormat="1" ht="14"/>
    <row r="429" s="115" customFormat="1" ht="14"/>
    <row r="430" s="115" customFormat="1" ht="14"/>
    <row r="431" s="115" customFormat="1" ht="14"/>
    <row r="432" s="115" customFormat="1" ht="14"/>
    <row r="433" s="115" customFormat="1" ht="14"/>
    <row r="434" s="115" customFormat="1" ht="14"/>
    <row r="435" s="115" customFormat="1" ht="14"/>
    <row r="436" s="115" customFormat="1" ht="14"/>
    <row r="437" s="115" customFormat="1" ht="14"/>
    <row r="438" s="115" customFormat="1" ht="14"/>
    <row r="439" s="115" customFormat="1" ht="14"/>
    <row r="440" s="115" customFormat="1" ht="14"/>
    <row r="441" s="115" customFormat="1" ht="14"/>
    <row r="442" s="115" customFormat="1" ht="14"/>
    <row r="443" s="115" customFormat="1" ht="14"/>
    <row r="444" s="115" customFormat="1" ht="14"/>
    <row r="445" s="115" customFormat="1" ht="14"/>
    <row r="446" s="115" customFormat="1" ht="14"/>
    <row r="447" s="115" customFormat="1" ht="14"/>
    <row r="448" s="115" customFormat="1" ht="14"/>
    <row r="449" s="115" customFormat="1" ht="14"/>
    <row r="450" s="115" customFormat="1" ht="14"/>
    <row r="451" s="115" customFormat="1" ht="14"/>
    <row r="452" s="115" customFormat="1" ht="14"/>
    <row r="453" s="115" customFormat="1" ht="14"/>
    <row r="454" s="115" customFormat="1" ht="14"/>
    <row r="455" s="115" customFormat="1" ht="14"/>
    <row r="456" s="115" customFormat="1" ht="14"/>
    <row r="457" s="115" customFormat="1" ht="14"/>
    <row r="458" s="115" customFormat="1" ht="14"/>
    <row r="459" s="115" customFormat="1" ht="14"/>
    <row r="460" s="115" customFormat="1" ht="14"/>
    <row r="461" s="115" customFormat="1" ht="14"/>
    <row r="462" s="115" customFormat="1" ht="14"/>
    <row r="463" s="115" customFormat="1" ht="14"/>
    <row r="464" s="115" customFormat="1" ht="14"/>
    <row r="465" s="115" customFormat="1" ht="14"/>
    <row r="466" s="115" customFormat="1" ht="14"/>
    <row r="467" s="115" customFormat="1" ht="14"/>
    <row r="468" s="115" customFormat="1" ht="14"/>
    <row r="469" s="115" customFormat="1" ht="14"/>
    <row r="470" s="115" customFormat="1" ht="14"/>
    <row r="471" s="115" customFormat="1" ht="14"/>
    <row r="472" s="115" customFormat="1" ht="14"/>
    <row r="473" s="115" customFormat="1" ht="14"/>
    <row r="474" s="115" customFormat="1" ht="14"/>
    <row r="475" s="115" customFormat="1" ht="14"/>
    <row r="476" s="115" customFormat="1" ht="14"/>
    <row r="477" s="115" customFormat="1" ht="14"/>
    <row r="478" s="115" customFormat="1" ht="14"/>
    <row r="479" s="115" customFormat="1" ht="14"/>
    <row r="480" s="115" customFormat="1" ht="14"/>
    <row r="481" s="115" customFormat="1" ht="14"/>
    <row r="482" s="115" customFormat="1" ht="14"/>
    <row r="483" s="115" customFormat="1" ht="14"/>
    <row r="484" s="115" customFormat="1" ht="14"/>
    <row r="485" s="115" customFormat="1" ht="14"/>
    <row r="486" s="115" customFormat="1" ht="14"/>
    <row r="487" s="115" customFormat="1" ht="14"/>
    <row r="488" s="115" customFormat="1" ht="14"/>
    <row r="489" s="115" customFormat="1" ht="14"/>
    <row r="490" s="115" customFormat="1" ht="14"/>
    <row r="491" s="115" customFormat="1" ht="14"/>
    <row r="492" s="115" customFormat="1" ht="14"/>
    <row r="493" s="115" customFormat="1" ht="14"/>
    <row r="494" s="115" customFormat="1" ht="14"/>
    <row r="495" s="115" customFormat="1" ht="14"/>
    <row r="496" s="115" customFormat="1" ht="14"/>
    <row r="497" s="115" customFormat="1" ht="14"/>
    <row r="498" s="115" customFormat="1" ht="14"/>
    <row r="499" s="115" customFormat="1" ht="14"/>
    <row r="500" s="115" customFormat="1" ht="14"/>
    <row r="501" s="115" customFormat="1" ht="14"/>
    <row r="502" s="115" customFormat="1" ht="14"/>
    <row r="503" s="115" customFormat="1" ht="14"/>
    <row r="504" s="115" customFormat="1" ht="14"/>
    <row r="505" s="115" customFormat="1" ht="14"/>
    <row r="506" s="115" customFormat="1" ht="14"/>
    <row r="507" s="115" customFormat="1" ht="14"/>
    <row r="508" s="115" customFormat="1" ht="14"/>
    <row r="509" s="115" customFormat="1" ht="14"/>
    <row r="510" s="115" customFormat="1" ht="14"/>
    <row r="511" s="115" customFormat="1" ht="14"/>
    <row r="512" s="115" customFormat="1" ht="14"/>
    <row r="513" s="115" customFormat="1" ht="14"/>
    <row r="514" s="115" customFormat="1" ht="14"/>
    <row r="515" s="115" customFormat="1" ht="14"/>
    <row r="516" s="115" customFormat="1" ht="14"/>
    <row r="517" s="115" customFormat="1" ht="14"/>
    <row r="518" s="115" customFormat="1" ht="14"/>
    <row r="519" s="115" customFormat="1" ht="14"/>
    <row r="520" s="115" customFormat="1" ht="14"/>
    <row r="521" s="115" customFormat="1" ht="14"/>
    <row r="522" s="115" customFormat="1" ht="14"/>
    <row r="523" s="115" customFormat="1" ht="14"/>
    <row r="524" s="115" customFormat="1" ht="14"/>
    <row r="525" s="115" customFormat="1" ht="14"/>
    <row r="526" s="115" customFormat="1" ht="14"/>
    <row r="527" s="115" customFormat="1" ht="14"/>
    <row r="528" s="115" customFormat="1" ht="14"/>
    <row r="529" s="115" customFormat="1" ht="14"/>
    <row r="530" s="115" customFormat="1" ht="14"/>
    <row r="531" s="115" customFormat="1" ht="14"/>
    <row r="532" s="115" customFormat="1" ht="14"/>
    <row r="533" s="115" customFormat="1" ht="14"/>
    <row r="534" s="115" customFormat="1" ht="14"/>
    <row r="535" s="115" customFormat="1" ht="14"/>
    <row r="536" s="115" customFormat="1" ht="14"/>
    <row r="537" s="115" customFormat="1" ht="14"/>
    <row r="538" s="115" customFormat="1" ht="14"/>
    <row r="539" s="115" customFormat="1" ht="14"/>
    <row r="540" s="115" customFormat="1" ht="14"/>
    <row r="541" s="115" customFormat="1" ht="14"/>
    <row r="542" s="115" customFormat="1" ht="14"/>
    <row r="543" s="115" customFormat="1" ht="14"/>
    <row r="544" s="115" customFormat="1" ht="14"/>
    <row r="545" s="115" customFormat="1" ht="14"/>
    <row r="546" s="115" customFormat="1" ht="14"/>
    <row r="547" s="115" customFormat="1" ht="14"/>
    <row r="548" s="115" customFormat="1" ht="14"/>
    <row r="549" s="115" customFormat="1" ht="14"/>
    <row r="550" s="115" customFormat="1" ht="14"/>
    <row r="551" s="115" customFormat="1" ht="14"/>
    <row r="552" s="115" customFormat="1" ht="14"/>
    <row r="553" s="115" customFormat="1" ht="14"/>
    <row r="554" s="115" customFormat="1" ht="14"/>
    <row r="555" s="115" customFormat="1" ht="14"/>
    <row r="556" s="115" customFormat="1" ht="14"/>
    <row r="557" s="115" customFormat="1" ht="14"/>
    <row r="558" s="115" customFormat="1" ht="14"/>
    <row r="559" s="115" customFormat="1" ht="14"/>
    <row r="560" s="115" customFormat="1" ht="14"/>
    <row r="561" s="115" customFormat="1" ht="14"/>
    <row r="562" s="115" customFormat="1" ht="14"/>
    <row r="563" s="115" customFormat="1" ht="14"/>
    <row r="564" s="115" customFormat="1" ht="14"/>
    <row r="565" s="115" customFormat="1" ht="14"/>
    <row r="566" s="115" customFormat="1" ht="14"/>
    <row r="567" s="115" customFormat="1" ht="14"/>
    <row r="568" s="115" customFormat="1" ht="14"/>
    <row r="569" s="115" customFormat="1" ht="14"/>
    <row r="570" s="115" customFormat="1" ht="14"/>
    <row r="571" s="115" customFormat="1" ht="14"/>
    <row r="572" s="115" customFormat="1" ht="14"/>
    <row r="573" s="115" customFormat="1" ht="14"/>
    <row r="574" s="115" customFormat="1" ht="14"/>
    <row r="575" s="115" customFormat="1" ht="14"/>
    <row r="576" s="115" customFormat="1" ht="14"/>
    <row r="577" s="115" customFormat="1" ht="14"/>
    <row r="578" s="115" customFormat="1" ht="14"/>
    <row r="579" s="115" customFormat="1" ht="14"/>
    <row r="580" s="115" customFormat="1" ht="14"/>
    <row r="581" s="115" customFormat="1" ht="14"/>
    <row r="582" s="115" customFormat="1" ht="14"/>
    <row r="583" s="115" customFormat="1" ht="14"/>
    <row r="584" s="115" customFormat="1" ht="14"/>
    <row r="585" s="115" customFormat="1" ht="14"/>
    <row r="586" s="115" customFormat="1" ht="14"/>
    <row r="587" s="115" customFormat="1" ht="14"/>
    <row r="588" s="115" customFormat="1" ht="14"/>
    <row r="589" s="115" customFormat="1" ht="14"/>
    <row r="590" s="115" customFormat="1" ht="14"/>
    <row r="591" s="115" customFormat="1" ht="14"/>
    <row r="592" s="115" customFormat="1" ht="14"/>
    <row r="593" s="115" customFormat="1" ht="14"/>
    <row r="594" s="115" customFormat="1" ht="14"/>
    <row r="595" s="115" customFormat="1" ht="14"/>
    <row r="596" s="115" customFormat="1" ht="14"/>
    <row r="597" s="115" customFormat="1" ht="14"/>
    <row r="598" s="115" customFormat="1" ht="14"/>
    <row r="599" s="115" customFormat="1" ht="14"/>
    <row r="600" s="115" customFormat="1" ht="14"/>
    <row r="601" s="115" customFormat="1" ht="14"/>
    <row r="602" s="115" customFormat="1" ht="14"/>
    <row r="603" s="115" customFormat="1" ht="14"/>
    <row r="604" s="115" customFormat="1" ht="14"/>
    <row r="605" s="115" customFormat="1" ht="14"/>
    <row r="606" s="115" customFormat="1" ht="14"/>
    <row r="607" s="115" customFormat="1" ht="14"/>
    <row r="608" s="115" customFormat="1" ht="14"/>
    <row r="609" s="115" customFormat="1" ht="14"/>
    <row r="610" s="115" customFormat="1" ht="14"/>
    <row r="611" s="115" customFormat="1" ht="14"/>
    <row r="612" s="115" customFormat="1" ht="14"/>
    <row r="613" s="115" customFormat="1" ht="14"/>
    <row r="614" s="115" customFormat="1" ht="14"/>
    <row r="615" s="115" customFormat="1" ht="14"/>
    <row r="616" s="115" customFormat="1" ht="14"/>
    <row r="617" s="115" customFormat="1" ht="14"/>
    <row r="618" s="115" customFormat="1" ht="14"/>
    <row r="619" s="115" customFormat="1" ht="14"/>
    <row r="620" s="115" customFormat="1" ht="14"/>
    <row r="621" s="115" customFormat="1" ht="14"/>
    <row r="622" s="115" customFormat="1" ht="14"/>
    <row r="623" s="115" customFormat="1" ht="14"/>
    <row r="624" s="115" customFormat="1" ht="14"/>
    <row r="625" s="115" customFormat="1" ht="14"/>
    <row r="626" s="115" customFormat="1" ht="14"/>
    <row r="627" s="115" customFormat="1" ht="14"/>
    <row r="628" s="115" customFormat="1" ht="14"/>
    <row r="629" s="115" customFormat="1" ht="14"/>
    <row r="630" s="115" customFormat="1" ht="14"/>
    <row r="631" s="115" customFormat="1" ht="14"/>
    <row r="632" s="115" customFormat="1" ht="14"/>
    <row r="633" s="115" customFormat="1" ht="14"/>
    <row r="634" s="115" customFormat="1" ht="14"/>
    <row r="635" s="115" customFormat="1" ht="14"/>
    <row r="636" s="115" customFormat="1" ht="14"/>
    <row r="637" s="115" customFormat="1" ht="14"/>
    <row r="638" s="115" customFormat="1" ht="14"/>
    <row r="639" s="115" customFormat="1" ht="14"/>
    <row r="640" s="115" customFormat="1" ht="14"/>
    <row r="641" s="115" customFormat="1" ht="14"/>
    <row r="642" s="115" customFormat="1" ht="14"/>
    <row r="643" s="115" customFormat="1" ht="14"/>
    <row r="644" s="115" customFormat="1" ht="14"/>
    <row r="645" s="115" customFormat="1" ht="14"/>
    <row r="646" s="115" customFormat="1" ht="14"/>
    <row r="647" s="115" customFormat="1" ht="14"/>
    <row r="648" s="115" customFormat="1" ht="14"/>
    <row r="649" s="115" customFormat="1" ht="14"/>
    <row r="650" s="115" customFormat="1" ht="14"/>
    <row r="651" s="115" customFormat="1" ht="14"/>
    <row r="652" s="115" customFormat="1" ht="14"/>
    <row r="653" s="115" customFormat="1" ht="14"/>
    <row r="654" s="115" customFormat="1" ht="14"/>
    <row r="655" s="115" customFormat="1" ht="14"/>
    <row r="656" s="115" customFormat="1" ht="14"/>
    <row r="657" s="115" customFormat="1" ht="14"/>
    <row r="658" s="115" customFormat="1" ht="14"/>
    <row r="659" s="115" customFormat="1" ht="14"/>
    <row r="660" s="115" customFormat="1" ht="14"/>
    <row r="661" s="115" customFormat="1" ht="14"/>
    <row r="662" s="115" customFormat="1" ht="14"/>
    <row r="663" s="115" customFormat="1" ht="14"/>
    <row r="664" s="115" customFormat="1" ht="14"/>
    <row r="665" s="115" customFormat="1" ht="14"/>
    <row r="666" s="115" customFormat="1" ht="14"/>
    <row r="667" s="115" customFormat="1" ht="14"/>
    <row r="668" s="115" customFormat="1" ht="14"/>
    <row r="669" s="115" customFormat="1" ht="14"/>
    <row r="670" s="115" customFormat="1" ht="14"/>
    <row r="671" s="115" customFormat="1" ht="14"/>
    <row r="672" s="115" customFormat="1" ht="14"/>
    <row r="673" s="115" customFormat="1" ht="14"/>
    <row r="674" s="115" customFormat="1" ht="14"/>
    <row r="675" s="115" customFormat="1" ht="14"/>
    <row r="676" s="115" customFormat="1" ht="14"/>
    <row r="677" s="115" customFormat="1" ht="14"/>
    <row r="678" s="115" customFormat="1" ht="14"/>
    <row r="679" s="115" customFormat="1" ht="14"/>
    <row r="680" s="115" customFormat="1" ht="14"/>
    <row r="681" s="115" customFormat="1" ht="14"/>
    <row r="682" s="115" customFormat="1" ht="14"/>
    <row r="683" s="115" customFormat="1" ht="14"/>
    <row r="684" s="115" customFormat="1" ht="14"/>
    <row r="685" s="115" customFormat="1" ht="14"/>
    <row r="686" s="115" customFormat="1" ht="14"/>
    <row r="687" s="115" customFormat="1" ht="14"/>
    <row r="688" s="115" customFormat="1" ht="14"/>
    <row r="689" s="115" customFormat="1" ht="14"/>
    <row r="690" s="115" customFormat="1" ht="14"/>
    <row r="691" s="115" customFormat="1" ht="14"/>
    <row r="692" s="115" customFormat="1" ht="14"/>
    <row r="693" s="115" customFormat="1" ht="14"/>
    <row r="694" s="115" customFormat="1" ht="14"/>
    <row r="695" s="115" customFormat="1" ht="14"/>
    <row r="696" s="115" customFormat="1" ht="14"/>
    <row r="697" s="115" customFormat="1" ht="14"/>
    <row r="698" s="115" customFormat="1" ht="14"/>
    <row r="699" s="115" customFormat="1" ht="14"/>
    <row r="700" s="115" customFormat="1" ht="14"/>
    <row r="701" s="115" customFormat="1" ht="14"/>
    <row r="702" s="115" customFormat="1" ht="14"/>
    <row r="703" s="115" customFormat="1" ht="14"/>
    <row r="704" s="115" customFormat="1" ht="14"/>
    <row r="705" s="115" customFormat="1" ht="14"/>
    <row r="706" s="115" customFormat="1" ht="14"/>
    <row r="707" s="115" customFormat="1" ht="14"/>
    <row r="708" s="115" customFormat="1" ht="14"/>
    <row r="709" s="115" customFormat="1" ht="14"/>
    <row r="710" s="115" customFormat="1" ht="14"/>
    <row r="711" s="115" customFormat="1" ht="14"/>
    <row r="712" s="115" customFormat="1" ht="14"/>
    <row r="713" s="115" customFormat="1" ht="14"/>
    <row r="714" s="115" customFormat="1" ht="14"/>
    <row r="715" s="115" customFormat="1" ht="14"/>
    <row r="716" s="115" customFormat="1" ht="14"/>
    <row r="717" s="115" customFormat="1" ht="14"/>
    <row r="718" s="115" customFormat="1" ht="14"/>
    <row r="719" s="115" customFormat="1" ht="14"/>
    <row r="720" s="115" customFormat="1" ht="14"/>
    <row r="721" s="115" customFormat="1" ht="14"/>
    <row r="722" s="115" customFormat="1" ht="14"/>
    <row r="723" s="115" customFormat="1" ht="14"/>
    <row r="724" s="115" customFormat="1" ht="14"/>
    <row r="725" s="115" customFormat="1" ht="14"/>
    <row r="726" s="115" customFormat="1" ht="14"/>
    <row r="727" s="115" customFormat="1" ht="14"/>
    <row r="728" s="115" customFormat="1" ht="14"/>
    <row r="729" s="115" customFormat="1" ht="14"/>
    <row r="730" s="115" customFormat="1" ht="14"/>
    <row r="731" s="115" customFormat="1" ht="14"/>
    <row r="732" s="115" customFormat="1" ht="14"/>
    <row r="733" s="115" customFormat="1" ht="14"/>
    <row r="734" s="115" customFormat="1" ht="14"/>
    <row r="735" s="115" customFormat="1" ht="14"/>
    <row r="736" s="115" customFormat="1" ht="14"/>
    <row r="737" s="115" customFormat="1" ht="14"/>
    <row r="738" s="115" customFormat="1" ht="14"/>
    <row r="739" s="115" customFormat="1" ht="14"/>
    <row r="740" s="115" customFormat="1" ht="14"/>
    <row r="741" s="115" customFormat="1" ht="14"/>
    <row r="742" s="115" customFormat="1" ht="14"/>
    <row r="743" s="115" customFormat="1" ht="14"/>
    <row r="744" s="115" customFormat="1" ht="14"/>
    <row r="745" s="115" customFormat="1" ht="14"/>
    <row r="746" s="115" customFormat="1" ht="14"/>
    <row r="747" s="115" customFormat="1" ht="14"/>
    <row r="748" s="115" customFormat="1" ht="14"/>
    <row r="749" s="115" customFormat="1" ht="14"/>
    <row r="750" s="115" customFormat="1" ht="14"/>
    <row r="751" s="115" customFormat="1" ht="14"/>
    <row r="752" s="115" customFormat="1" ht="14"/>
    <row r="753" s="115" customFormat="1" ht="14"/>
    <row r="754" s="115" customFormat="1" ht="14"/>
    <row r="755" s="115" customFormat="1" ht="14"/>
    <row r="756" s="115" customFormat="1" ht="14"/>
    <row r="757" s="115" customFormat="1" ht="14"/>
    <row r="758" s="115" customFormat="1" ht="14"/>
    <row r="759" s="115" customFormat="1" ht="14"/>
    <row r="760" s="115" customFormat="1" ht="14"/>
    <row r="761" s="115" customFormat="1" ht="14"/>
    <row r="762" s="115" customFormat="1" ht="14"/>
    <row r="763" s="115" customFormat="1" ht="14"/>
    <row r="764" s="115" customFormat="1" ht="14"/>
    <row r="765" s="115" customFormat="1" ht="14"/>
    <row r="766" s="115" customFormat="1" ht="14"/>
    <row r="767" s="115" customFormat="1" ht="14"/>
    <row r="768" s="115" customFormat="1" ht="14"/>
    <row r="769" s="115" customFormat="1" ht="14"/>
    <row r="770" s="115" customFormat="1" ht="14"/>
    <row r="771" s="115" customFormat="1" ht="14"/>
    <row r="772" s="115" customFormat="1" ht="14"/>
    <row r="773" s="115" customFormat="1" ht="14"/>
    <row r="774" s="115" customFormat="1" ht="14"/>
    <row r="775" s="115" customFormat="1" ht="14"/>
    <row r="776" s="115" customFormat="1" ht="14"/>
    <row r="777" s="115" customFormat="1" ht="14"/>
    <row r="778" s="115" customFormat="1" ht="14"/>
    <row r="779" s="115" customFormat="1" ht="14"/>
    <row r="780" s="115" customFormat="1" ht="14"/>
    <row r="781" s="115" customFormat="1" ht="14"/>
    <row r="782" s="115" customFormat="1" ht="14"/>
    <row r="783" s="115" customFormat="1" ht="14"/>
    <row r="784" s="115" customFormat="1" ht="14"/>
    <row r="785" s="115" customFormat="1" ht="14"/>
    <row r="786" s="115" customFormat="1" ht="14"/>
    <row r="787" s="115" customFormat="1" ht="14"/>
    <row r="788" s="115" customFormat="1" ht="14"/>
    <row r="789" s="115" customFormat="1" ht="14"/>
    <row r="790" s="115" customFormat="1" ht="14"/>
    <row r="791" s="115" customFormat="1" ht="14"/>
    <row r="792" s="115" customFormat="1" ht="14"/>
    <row r="793" s="115" customFormat="1" ht="14"/>
    <row r="794" s="115" customFormat="1" ht="14"/>
    <row r="795" s="115" customFormat="1" ht="14"/>
    <row r="796" s="115" customFormat="1" ht="14"/>
    <row r="797" s="115" customFormat="1" ht="14"/>
    <row r="798" s="115" customFormat="1" ht="14"/>
    <row r="799" s="115" customFormat="1" ht="14"/>
    <row r="800" s="115" customFormat="1" ht="14"/>
    <row r="801" s="115" customFormat="1" ht="14"/>
    <row r="802" s="115" customFormat="1" ht="14"/>
    <row r="803" s="115" customFormat="1" ht="14"/>
    <row r="804" s="115" customFormat="1" ht="14"/>
    <row r="805" s="115" customFormat="1" ht="14"/>
    <row r="806" s="115" customFormat="1" ht="14"/>
    <row r="807" s="115" customFormat="1" ht="14"/>
    <row r="808" s="115" customFormat="1" ht="14"/>
    <row r="809" s="115" customFormat="1" ht="14"/>
    <row r="810" s="115" customFormat="1" ht="14"/>
    <row r="811" s="115" customFormat="1" ht="14"/>
    <row r="812" s="115" customFormat="1" ht="14"/>
    <row r="813" s="115" customFormat="1" ht="14"/>
    <row r="814" s="115" customFormat="1" ht="14"/>
    <row r="815" s="115" customFormat="1" ht="14"/>
    <row r="816" s="115" customFormat="1" ht="14"/>
    <row r="817" s="115" customFormat="1" ht="14"/>
    <row r="818" s="115" customFormat="1" ht="14"/>
    <row r="819" s="115" customFormat="1" ht="14"/>
    <row r="820" s="115" customFormat="1" ht="14"/>
    <row r="821" s="115" customFormat="1" ht="14"/>
    <row r="822" s="115" customFormat="1" ht="14"/>
    <row r="823" s="115" customFormat="1" ht="14"/>
    <row r="824" s="115" customFormat="1" ht="14"/>
    <row r="825" s="115" customFormat="1" ht="14"/>
    <row r="826" s="115" customFormat="1" ht="14"/>
    <row r="827" s="115" customFormat="1" ht="14"/>
    <row r="828" s="115" customFormat="1" ht="14"/>
    <row r="829" s="115" customFormat="1" ht="14"/>
    <row r="830" s="115" customFormat="1" ht="14"/>
    <row r="831" s="115" customFormat="1" ht="14"/>
    <row r="832" s="115" customFormat="1" ht="14"/>
    <row r="833" s="115" customFormat="1" ht="14"/>
    <row r="834" s="115" customFormat="1" ht="14"/>
    <row r="835" s="115" customFormat="1" ht="14"/>
    <row r="836" s="115" customFormat="1" ht="14"/>
    <row r="837" s="115" customFormat="1" ht="14"/>
    <row r="838" s="115" customFormat="1" ht="14"/>
    <row r="839" s="115" customFormat="1" ht="14"/>
    <row r="840" s="115" customFormat="1" ht="14"/>
    <row r="841" s="115" customFormat="1" ht="14"/>
    <row r="842" s="115" customFormat="1" ht="14"/>
    <row r="843" s="115" customFormat="1" ht="14"/>
    <row r="844" s="115" customFormat="1" ht="14"/>
    <row r="845" s="115" customFormat="1" ht="14"/>
    <row r="846" s="115" customFormat="1" ht="14"/>
    <row r="847" s="115" customFormat="1" ht="14"/>
    <row r="848" s="115" customFormat="1" ht="14"/>
    <row r="849" s="115" customFormat="1" ht="14"/>
    <row r="850" s="115" customFormat="1" ht="14"/>
    <row r="851" s="115" customFormat="1" ht="14"/>
    <row r="852" s="115" customFormat="1" ht="14"/>
    <row r="853" s="115" customFormat="1" ht="14"/>
    <row r="854" s="115" customFormat="1" ht="14"/>
    <row r="855" s="115" customFormat="1" ht="14"/>
    <row r="856" s="115" customFormat="1" ht="14"/>
    <row r="857" s="115" customFormat="1" ht="14"/>
    <row r="858" s="115" customFormat="1" ht="14"/>
    <row r="859" s="115" customFormat="1" ht="14"/>
    <row r="860" s="115" customFormat="1" ht="14"/>
    <row r="861" s="115" customFormat="1" ht="14"/>
    <row r="862" s="115" customFormat="1" ht="14"/>
    <row r="863" s="115" customFormat="1" ht="14"/>
    <row r="864" s="115" customFormat="1" ht="14"/>
    <row r="865" s="115" customFormat="1" ht="14"/>
    <row r="866" s="115" customFormat="1" ht="14"/>
    <row r="867" s="115" customFormat="1" ht="14"/>
    <row r="868" s="115" customFormat="1" ht="14"/>
    <row r="869" s="115" customFormat="1" ht="14"/>
    <row r="870" s="115" customFormat="1" ht="14"/>
    <row r="871" s="115" customFormat="1" ht="14"/>
    <row r="872" s="115" customFormat="1" ht="14"/>
    <row r="873" s="115" customFormat="1" ht="14"/>
    <row r="874" s="115" customFormat="1" ht="14"/>
    <row r="875" s="115" customFormat="1" ht="14"/>
    <row r="876" s="115" customFormat="1" ht="14"/>
    <row r="877" s="115" customFormat="1" ht="14"/>
    <row r="878" s="115" customFormat="1" ht="14"/>
    <row r="879" s="115" customFormat="1" ht="14"/>
    <row r="880" s="115" customFormat="1" ht="14"/>
    <row r="881" s="115" customFormat="1" ht="14"/>
    <row r="882" s="115" customFormat="1" ht="14"/>
    <row r="883" s="115" customFormat="1" ht="14"/>
    <row r="884" s="115" customFormat="1" ht="14"/>
    <row r="885" s="115" customFormat="1" ht="14"/>
    <row r="886" s="115" customFormat="1" ht="14"/>
    <row r="887" s="115" customFormat="1" ht="14"/>
    <row r="888" s="115" customFormat="1" ht="14"/>
    <row r="889" s="115" customFormat="1" ht="14"/>
    <row r="890" s="115" customFormat="1" ht="14"/>
    <row r="891" s="115" customFormat="1" ht="14"/>
    <row r="892" s="115" customFormat="1" ht="14"/>
    <row r="893" s="115" customFormat="1" ht="14"/>
    <row r="894" s="115" customFormat="1" ht="14"/>
    <row r="895" s="115" customFormat="1" ht="14"/>
    <row r="896" s="115" customFormat="1" ht="14"/>
    <row r="897" s="115" customFormat="1" ht="14"/>
    <row r="898" s="115" customFormat="1" ht="14"/>
    <row r="899" s="115" customFormat="1" ht="14"/>
    <row r="900" s="115" customFormat="1" ht="14"/>
    <row r="901" s="115" customFormat="1" ht="14"/>
    <row r="902" s="115" customFormat="1" ht="14"/>
    <row r="903" s="115" customFormat="1" ht="14"/>
    <row r="904" s="115" customFormat="1" ht="14"/>
    <row r="905" s="115" customFormat="1" ht="14"/>
    <row r="906" s="115" customFormat="1" ht="14"/>
    <row r="907" s="115" customFormat="1" ht="14"/>
    <row r="908" s="115" customFormat="1" ht="14"/>
    <row r="909" s="115" customFormat="1" ht="14"/>
    <row r="910" s="115" customFormat="1" ht="14"/>
    <row r="911" s="115" customFormat="1" ht="14"/>
    <row r="912" s="115" customFormat="1" ht="14"/>
    <row r="913" s="115" customFormat="1" ht="14"/>
    <row r="914" s="115" customFormat="1" ht="14"/>
    <row r="915" s="115" customFormat="1" ht="14"/>
    <row r="916" s="115" customFormat="1" ht="14"/>
    <row r="917" s="115" customFormat="1" ht="14"/>
    <row r="918" s="115" customFormat="1" ht="14"/>
    <row r="919" s="115" customFormat="1" ht="14"/>
    <row r="920" s="115" customFormat="1" ht="14"/>
    <row r="921" s="115" customFormat="1" ht="14"/>
    <row r="922" s="115" customFormat="1" ht="14"/>
    <row r="923" s="115" customFormat="1" ht="14"/>
    <row r="924" s="115" customFormat="1" ht="14"/>
    <row r="925" s="115" customFormat="1" ht="14"/>
    <row r="926" s="115" customFormat="1" ht="14"/>
    <row r="927" s="115" customFormat="1" ht="14"/>
    <row r="928" s="115" customFormat="1" ht="14"/>
    <row r="929" s="115" customFormat="1" ht="14"/>
    <row r="930" s="115" customFormat="1" ht="14"/>
    <row r="931" s="115" customFormat="1" ht="14"/>
    <row r="932" s="115" customFormat="1" ht="14"/>
    <row r="933" s="115" customFormat="1" ht="14"/>
    <row r="934" s="115" customFormat="1" ht="14"/>
    <row r="935" s="115" customFormat="1" ht="14"/>
    <row r="936" s="115" customFormat="1" ht="14"/>
    <row r="937" s="115" customFormat="1" ht="14"/>
    <row r="938" s="115" customFormat="1" ht="14"/>
    <row r="939" s="115" customFormat="1" ht="14"/>
    <row r="940" s="115" customFormat="1" ht="14"/>
    <row r="941" s="115" customFormat="1" ht="14"/>
    <row r="942" s="115" customFormat="1" ht="14"/>
    <row r="943" s="115" customFormat="1" ht="14"/>
    <row r="944" s="115" customFormat="1" ht="14"/>
    <row r="945" s="115" customFormat="1" ht="14"/>
    <row r="946" s="115" customFormat="1" ht="14"/>
    <row r="947" s="115" customFormat="1" ht="14"/>
    <row r="948" s="115" customFormat="1" ht="14"/>
    <row r="949" s="115" customFormat="1" ht="14"/>
    <row r="950" s="115" customFormat="1" ht="14"/>
    <row r="951" s="115" customFormat="1" ht="14"/>
    <row r="952" s="115" customFormat="1" ht="14"/>
    <row r="953" s="115" customFormat="1" ht="14"/>
    <row r="954" s="115" customFormat="1" ht="14"/>
    <row r="955" s="115" customFormat="1" ht="14"/>
    <row r="956" s="115" customFormat="1" ht="14"/>
    <row r="957" s="115" customFormat="1" ht="14"/>
    <row r="958" s="115" customFormat="1" ht="14"/>
    <row r="959" s="115" customFormat="1" ht="14"/>
    <row r="960" s="115" customFormat="1" ht="14"/>
    <row r="961" s="115" customFormat="1" ht="14"/>
    <row r="962" s="115" customFormat="1" ht="14"/>
    <row r="963" s="115" customFormat="1" ht="14"/>
    <row r="964" s="115" customFormat="1" ht="14"/>
    <row r="965" s="115" customFormat="1" ht="14"/>
    <row r="966" s="115" customFormat="1" ht="14"/>
    <row r="967" s="115" customFormat="1" ht="14"/>
    <row r="968" s="115" customFormat="1" ht="14"/>
    <row r="969" s="115" customFormat="1" ht="14"/>
    <row r="970" s="115" customFormat="1" ht="14"/>
    <row r="971" s="115" customFormat="1" ht="14"/>
    <row r="972" s="115" customFormat="1" ht="14"/>
    <row r="973" s="115" customFormat="1" ht="14"/>
    <row r="974" s="115" customFormat="1" ht="14"/>
    <row r="975" s="115" customFormat="1" ht="14"/>
    <row r="976" s="115" customFormat="1" ht="14"/>
    <row r="977" s="115" customFormat="1" ht="14"/>
    <row r="978" s="115" customFormat="1" ht="14"/>
    <row r="979" s="115" customFormat="1" ht="14"/>
    <row r="980" s="115" customFormat="1" ht="14"/>
    <row r="981" s="115" customFormat="1" ht="14"/>
    <row r="982" s="115" customFormat="1" ht="14"/>
    <row r="983" s="115" customFormat="1" ht="14"/>
    <row r="984" s="115" customFormat="1" ht="14"/>
    <row r="985" s="115" customFormat="1" ht="14"/>
    <row r="986" s="115" customFormat="1" ht="14"/>
    <row r="987" s="115" customFormat="1" ht="14"/>
    <row r="988" s="115" customFormat="1" ht="14"/>
    <row r="989" s="115" customFormat="1" ht="14"/>
    <row r="990" s="115" customFormat="1" ht="14"/>
    <row r="991" s="115" customFormat="1" ht="14"/>
    <row r="992" s="115" customFormat="1" ht="14"/>
    <row r="993" s="115" customFormat="1" ht="14"/>
    <row r="994" s="115" customFormat="1" ht="14"/>
    <row r="995" s="115" customFormat="1" ht="14"/>
    <row r="996" s="115" customFormat="1" ht="14"/>
    <row r="997" s="115" customFormat="1" ht="14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99404-F419-4E69-8E59-036C53CD0570}">
  <sheetPr>
    <tabColor theme="4"/>
  </sheetPr>
  <dimension ref="A1:AI997"/>
  <sheetViews>
    <sheetView showGridLines="0" workbookViewId="0">
      <pane xSplit="2" topLeftCell="C1" activePane="topRight" state="frozen"/>
      <selection pane="topRight"/>
    </sheetView>
  </sheetViews>
  <sheetFormatPr baseColWidth="10" defaultColWidth="12.5" defaultRowHeight="15.75" customHeight="1"/>
  <cols>
    <col min="1" max="1" width="28.1640625" style="115" customWidth="1"/>
    <col min="2" max="2" width="11.83203125" style="115" customWidth="1"/>
    <col min="3" max="3" width="19" style="115" customWidth="1"/>
    <col min="4" max="4" width="10.5" style="115" customWidth="1"/>
    <col min="5" max="5" width="8.5" style="115" customWidth="1"/>
    <col min="6" max="6" width="7.5" style="115" customWidth="1"/>
    <col min="7" max="7" width="9.5" style="115" customWidth="1"/>
    <col min="8" max="8" width="9" style="115" customWidth="1"/>
    <col min="9" max="9" width="6.83203125" style="115" customWidth="1"/>
    <col min="10" max="10" width="7.5" style="115" customWidth="1"/>
    <col min="11" max="11" width="7.33203125" style="115" customWidth="1"/>
    <col min="12" max="12" width="7.83203125" style="115" customWidth="1"/>
    <col min="13" max="13" width="7.6640625" style="115" customWidth="1"/>
    <col min="14" max="15" width="7.1640625" style="115" customWidth="1"/>
    <col min="16" max="16" width="7.33203125" style="115" customWidth="1"/>
    <col min="17" max="18" width="6.5" style="115" customWidth="1"/>
    <col min="19" max="19" width="7.33203125" style="115" customWidth="1"/>
    <col min="20" max="20" width="7.5" style="115" customWidth="1"/>
    <col min="21" max="21" width="6.6640625" style="115" customWidth="1"/>
    <col min="22" max="22" width="7.1640625" style="115" customWidth="1"/>
    <col min="23" max="23" width="7.5" style="115" customWidth="1"/>
    <col min="24" max="24" width="9.33203125" style="115" customWidth="1"/>
    <col min="25" max="25" width="9.5" style="115" customWidth="1"/>
    <col min="26" max="26" width="9.33203125" style="115" customWidth="1"/>
    <col min="27" max="27" width="8.6640625" style="115" customWidth="1"/>
    <col min="28" max="28" width="15.33203125" style="115" customWidth="1"/>
    <col min="29" max="29" width="14" style="115" customWidth="1"/>
    <col min="30" max="30" width="7.5" style="115" customWidth="1"/>
    <col min="31" max="31" width="17.6640625" style="115" customWidth="1"/>
    <col min="32" max="35" width="7.5" style="115" customWidth="1"/>
    <col min="36" max="16384" width="12.5" style="115"/>
  </cols>
  <sheetData>
    <row r="1" spans="1:35" ht="15.75" customHeight="1">
      <c r="A1" s="107"/>
      <c r="B1" s="108"/>
      <c r="C1" s="109">
        <v>45931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54" t="s">
        <v>1</v>
      </c>
      <c r="B3" s="254" t="s">
        <v>2</v>
      </c>
      <c r="C3" s="254" t="s">
        <v>3</v>
      </c>
      <c r="D3" s="254" t="s">
        <v>4</v>
      </c>
      <c r="E3" s="259" t="s">
        <v>5</v>
      </c>
      <c r="F3" s="255"/>
      <c r="G3" s="255"/>
      <c r="H3" s="255"/>
      <c r="I3" s="141">
        <f>C1</f>
        <v>45931</v>
      </c>
      <c r="J3" s="141">
        <f t="shared" ref="J3:W3" si="0">I3+1</f>
        <v>45932</v>
      </c>
      <c r="K3" s="141">
        <f t="shared" si="0"/>
        <v>45933</v>
      </c>
      <c r="L3" s="141">
        <f t="shared" si="0"/>
        <v>45934</v>
      </c>
      <c r="M3" s="141">
        <f t="shared" si="0"/>
        <v>45935</v>
      </c>
      <c r="N3" s="141">
        <f t="shared" si="0"/>
        <v>45936</v>
      </c>
      <c r="O3" s="141">
        <f t="shared" si="0"/>
        <v>45937</v>
      </c>
      <c r="P3" s="141">
        <f t="shared" si="0"/>
        <v>45938</v>
      </c>
      <c r="Q3" s="141">
        <f t="shared" si="0"/>
        <v>45939</v>
      </c>
      <c r="R3" s="141">
        <f t="shared" si="0"/>
        <v>45940</v>
      </c>
      <c r="S3" s="141">
        <f t="shared" si="0"/>
        <v>45941</v>
      </c>
      <c r="T3" s="141">
        <f t="shared" si="0"/>
        <v>45942</v>
      </c>
      <c r="U3" s="141">
        <f t="shared" si="0"/>
        <v>45943</v>
      </c>
      <c r="V3" s="141">
        <f t="shared" si="0"/>
        <v>45944</v>
      </c>
      <c r="W3" s="141">
        <f t="shared" si="0"/>
        <v>45945</v>
      </c>
      <c r="X3" s="254" t="s">
        <v>6</v>
      </c>
      <c r="Y3" s="254" t="s">
        <v>7</v>
      </c>
      <c r="Z3" s="209"/>
      <c r="AA3" s="114"/>
      <c r="AB3" s="114"/>
    </row>
    <row r="4" spans="1:35" ht="27" customHeight="1">
      <c r="A4" s="255"/>
      <c r="B4" s="255"/>
      <c r="C4" s="255"/>
      <c r="D4" s="255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Wed</v>
      </c>
      <c r="J4" s="127" t="str">
        <f t="shared" si="1"/>
        <v>Thu</v>
      </c>
      <c r="K4" s="127" t="str">
        <f t="shared" si="1"/>
        <v>Fri</v>
      </c>
      <c r="L4" s="222" t="str">
        <f t="shared" si="1"/>
        <v>Sat</v>
      </c>
      <c r="M4" s="222" t="str">
        <f t="shared" si="1"/>
        <v>Sun</v>
      </c>
      <c r="N4" s="221" t="str">
        <f t="shared" si="1"/>
        <v>Mon</v>
      </c>
      <c r="O4" s="221" t="str">
        <f t="shared" si="1"/>
        <v>Tue</v>
      </c>
      <c r="P4" s="222" t="str">
        <f t="shared" si="1"/>
        <v>Wed</v>
      </c>
      <c r="Q4" s="222" t="str">
        <f t="shared" si="1"/>
        <v>Thu</v>
      </c>
      <c r="R4" s="222" t="str">
        <f t="shared" si="1"/>
        <v>Fri</v>
      </c>
      <c r="S4" s="222" t="str">
        <f t="shared" si="1"/>
        <v>Sat</v>
      </c>
      <c r="T4" s="222" t="str">
        <f t="shared" si="1"/>
        <v>Sun</v>
      </c>
      <c r="U4" s="222" t="str">
        <f t="shared" si="1"/>
        <v>Mon</v>
      </c>
      <c r="V4" s="222" t="str">
        <f t="shared" si="1"/>
        <v>Tue</v>
      </c>
      <c r="W4" s="222" t="str">
        <f t="shared" si="1"/>
        <v>Wed</v>
      </c>
      <c r="X4" s="255"/>
      <c r="Y4" s="255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64</v>
      </c>
      <c r="G5" s="134">
        <f t="shared" ref="G5:G10" si="5">SUM(I5:W5)</f>
        <v>64</v>
      </c>
      <c r="H5" s="135">
        <v>0</v>
      </c>
      <c r="I5" s="236"/>
      <c r="J5" s="235"/>
      <c r="K5" s="236"/>
      <c r="L5" s="200"/>
      <c r="M5" s="200"/>
      <c r="N5" s="183">
        <v>8</v>
      </c>
      <c r="O5" s="183">
        <v>8</v>
      </c>
      <c r="P5" s="183">
        <v>8</v>
      </c>
      <c r="Q5" s="183">
        <v>8</v>
      </c>
      <c r="R5" s="183">
        <v>8</v>
      </c>
      <c r="S5" s="200"/>
      <c r="T5" s="200"/>
      <c r="U5" s="183">
        <v>8</v>
      </c>
      <c r="V5" s="183">
        <v>8</v>
      </c>
      <c r="W5" s="183">
        <v>8</v>
      </c>
      <c r="X5" s="134">
        <f>Y5-COUNTA(I5:W5)</f>
        <v>2</v>
      </c>
      <c r="Y5" s="136">
        <v>10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80</v>
      </c>
      <c r="G6" s="134">
        <f t="shared" si="5"/>
        <v>80</v>
      </c>
      <c r="H6" s="135">
        <v>0</v>
      </c>
      <c r="I6" s="183">
        <v>8</v>
      </c>
      <c r="J6" s="235"/>
      <c r="K6" s="183">
        <v>8</v>
      </c>
      <c r="L6" s="200"/>
      <c r="M6" s="200"/>
      <c r="N6" s="183">
        <v>8</v>
      </c>
      <c r="O6" s="183">
        <v>8</v>
      </c>
      <c r="P6" s="183">
        <v>8</v>
      </c>
      <c r="Q6" s="183">
        <v>8</v>
      </c>
      <c r="R6" s="183">
        <v>8</v>
      </c>
      <c r="S6" s="200"/>
      <c r="T6" s="200"/>
      <c r="U6" s="183">
        <v>8</v>
      </c>
      <c r="V6" s="183">
        <v>8</v>
      </c>
      <c r="W6" s="183">
        <v>8</v>
      </c>
      <c r="X6" s="134">
        <f t="shared" ref="X6:X14" si="6">Y6-COUNTA(I6:W6)</f>
        <v>0</v>
      </c>
      <c r="Y6" s="136">
        <v>10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236"/>
      <c r="J7" s="235"/>
      <c r="K7" s="183">
        <v>8</v>
      </c>
      <c r="L7" s="200"/>
      <c r="M7" s="200"/>
      <c r="N7" s="183">
        <v>8</v>
      </c>
      <c r="O7" s="183">
        <v>8</v>
      </c>
      <c r="P7" s="183">
        <v>8</v>
      </c>
      <c r="Q7" s="183">
        <v>8</v>
      </c>
      <c r="R7" s="183">
        <v>8</v>
      </c>
      <c r="S7" s="200"/>
      <c r="T7" s="200"/>
      <c r="U7" s="183">
        <v>8</v>
      </c>
      <c r="V7" s="183">
        <v>8</v>
      </c>
      <c r="W7" s="183">
        <v>8</v>
      </c>
      <c r="X7" s="134">
        <f t="shared" si="6"/>
        <v>1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64</v>
      </c>
      <c r="G8" s="134">
        <f t="shared" si="5"/>
        <v>64</v>
      </c>
      <c r="H8" s="135">
        <v>0</v>
      </c>
      <c r="I8" s="236"/>
      <c r="J8" s="235"/>
      <c r="K8" s="183">
        <v>8</v>
      </c>
      <c r="L8" s="200"/>
      <c r="M8" s="200"/>
      <c r="N8" s="183">
        <v>8</v>
      </c>
      <c r="O8" s="183">
        <v>8</v>
      </c>
      <c r="P8" s="183">
        <v>8</v>
      </c>
      <c r="Q8" s="183">
        <v>8</v>
      </c>
      <c r="R8" s="236"/>
      <c r="S8" s="200"/>
      <c r="T8" s="200"/>
      <c r="U8" s="183">
        <v>8</v>
      </c>
      <c r="V8" s="183">
        <v>8</v>
      </c>
      <c r="W8" s="183">
        <v>8</v>
      </c>
      <c r="X8" s="134">
        <f t="shared" si="6"/>
        <v>2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64</v>
      </c>
      <c r="G9" s="134">
        <f t="shared" si="5"/>
        <v>64</v>
      </c>
      <c r="H9" s="135">
        <v>0</v>
      </c>
      <c r="I9" s="236"/>
      <c r="J9" s="235"/>
      <c r="K9" s="236"/>
      <c r="L9" s="200"/>
      <c r="M9" s="200"/>
      <c r="N9" s="183">
        <v>8</v>
      </c>
      <c r="O9" s="183">
        <v>8</v>
      </c>
      <c r="P9" s="183">
        <v>8</v>
      </c>
      <c r="Q9" s="183">
        <v>8</v>
      </c>
      <c r="R9" s="183">
        <v>8</v>
      </c>
      <c r="S9" s="200"/>
      <c r="T9" s="200"/>
      <c r="U9" s="183">
        <v>8</v>
      </c>
      <c r="V9" s="183">
        <v>8</v>
      </c>
      <c r="W9" s="183">
        <v>8</v>
      </c>
      <c r="X9" s="134">
        <f t="shared" si="6"/>
        <v>2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72</v>
      </c>
      <c r="G10" s="134">
        <f t="shared" si="5"/>
        <v>72</v>
      </c>
      <c r="H10" s="135">
        <v>0</v>
      </c>
      <c r="I10" s="183">
        <v>8</v>
      </c>
      <c r="J10" s="235"/>
      <c r="K10" s="183">
        <v>8</v>
      </c>
      <c r="L10" s="200"/>
      <c r="M10" s="200"/>
      <c r="N10" s="183">
        <v>8</v>
      </c>
      <c r="O10" s="183">
        <v>8</v>
      </c>
      <c r="P10" s="183">
        <v>8</v>
      </c>
      <c r="Q10" s="183">
        <v>8</v>
      </c>
      <c r="R10" s="183">
        <v>8</v>
      </c>
      <c r="S10" s="200"/>
      <c r="T10" s="200"/>
      <c r="U10" s="236"/>
      <c r="V10" s="183">
        <v>8</v>
      </c>
      <c r="W10" s="183">
        <v>8</v>
      </c>
      <c r="X10" s="134">
        <f t="shared" si="6"/>
        <v>1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416</v>
      </c>
      <c r="G15" s="224">
        <f t="shared" si="8"/>
        <v>416</v>
      </c>
      <c r="H15" s="224">
        <f t="shared" si="8"/>
        <v>0</v>
      </c>
      <c r="I15" s="224">
        <f t="shared" si="8"/>
        <v>16</v>
      </c>
      <c r="J15" s="224">
        <f t="shared" si="8"/>
        <v>0</v>
      </c>
      <c r="K15" s="224">
        <f t="shared" si="8"/>
        <v>32</v>
      </c>
      <c r="L15" s="224">
        <f t="shared" si="8"/>
        <v>0</v>
      </c>
      <c r="M15" s="224">
        <f t="shared" si="8"/>
        <v>0</v>
      </c>
      <c r="N15" s="224">
        <f t="shared" si="8"/>
        <v>48</v>
      </c>
      <c r="O15" s="224">
        <f t="shared" si="8"/>
        <v>48</v>
      </c>
      <c r="P15" s="224">
        <f t="shared" si="8"/>
        <v>48</v>
      </c>
      <c r="Q15" s="224">
        <f t="shared" si="8"/>
        <v>48</v>
      </c>
      <c r="R15" s="224">
        <f t="shared" si="8"/>
        <v>40</v>
      </c>
      <c r="S15" s="224">
        <f t="shared" si="8"/>
        <v>0</v>
      </c>
      <c r="T15" s="224">
        <f t="shared" si="8"/>
        <v>0</v>
      </c>
      <c r="U15" s="224">
        <f t="shared" si="8"/>
        <v>40</v>
      </c>
      <c r="V15" s="224">
        <f t="shared" si="8"/>
        <v>48</v>
      </c>
      <c r="W15" s="224">
        <f t="shared" si="8"/>
        <v>48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54" t="s">
        <v>1</v>
      </c>
      <c r="B18" s="254" t="s">
        <v>2</v>
      </c>
      <c r="C18" s="254" t="s">
        <v>3</v>
      </c>
      <c r="D18" s="254" t="s">
        <v>4</v>
      </c>
      <c r="E18" s="259" t="s">
        <v>5</v>
      </c>
      <c r="F18" s="255"/>
      <c r="G18" s="255"/>
      <c r="H18" s="255"/>
      <c r="I18" s="141">
        <f>W3+1</f>
        <v>45946</v>
      </c>
      <c r="J18" s="141">
        <f t="shared" ref="J18:X18" si="9">I18+1</f>
        <v>45947</v>
      </c>
      <c r="K18" s="141">
        <f t="shared" si="9"/>
        <v>45948</v>
      </c>
      <c r="L18" s="141">
        <f t="shared" si="9"/>
        <v>45949</v>
      </c>
      <c r="M18" s="141">
        <f t="shared" si="9"/>
        <v>45950</v>
      </c>
      <c r="N18" s="141">
        <f t="shared" si="9"/>
        <v>45951</v>
      </c>
      <c r="O18" s="141">
        <f t="shared" si="9"/>
        <v>45952</v>
      </c>
      <c r="P18" s="141">
        <f t="shared" si="9"/>
        <v>45953</v>
      </c>
      <c r="Q18" s="141">
        <f t="shared" si="9"/>
        <v>45954</v>
      </c>
      <c r="R18" s="141">
        <f t="shared" si="9"/>
        <v>45955</v>
      </c>
      <c r="S18" s="141">
        <f t="shared" si="9"/>
        <v>45956</v>
      </c>
      <c r="T18" s="141">
        <f t="shared" si="9"/>
        <v>45957</v>
      </c>
      <c r="U18" s="141">
        <f t="shared" si="9"/>
        <v>45958</v>
      </c>
      <c r="V18" s="141">
        <f t="shared" si="9"/>
        <v>45959</v>
      </c>
      <c r="W18" s="141">
        <f t="shared" si="9"/>
        <v>45960</v>
      </c>
      <c r="X18" s="141">
        <f t="shared" si="9"/>
        <v>45961</v>
      </c>
      <c r="Y18" s="254" t="s">
        <v>6</v>
      </c>
      <c r="Z18" s="254" t="s">
        <v>7</v>
      </c>
      <c r="AA18" s="209"/>
      <c r="AB18" s="114"/>
    </row>
    <row r="19" spans="1:29" ht="26.25" customHeight="1">
      <c r="A19" s="255"/>
      <c r="B19" s="255"/>
      <c r="C19" s="255"/>
      <c r="D19" s="255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X19" si="10">IF(I18="","",TEXT(WEEKDAY(I18), "ddd"))</f>
        <v>Thu</v>
      </c>
      <c r="J19" s="222" t="str">
        <f t="shared" si="10"/>
        <v>Fri</v>
      </c>
      <c r="K19" s="222" t="str">
        <f t="shared" si="10"/>
        <v>Sat</v>
      </c>
      <c r="L19" s="222" t="str">
        <f t="shared" si="10"/>
        <v>Sun</v>
      </c>
      <c r="M19" s="222" t="str">
        <f t="shared" si="10"/>
        <v>Mon</v>
      </c>
      <c r="N19" s="222" t="str">
        <f t="shared" si="10"/>
        <v>Tue</v>
      </c>
      <c r="O19" s="222" t="str">
        <f t="shared" si="10"/>
        <v>Wed</v>
      </c>
      <c r="P19" s="127" t="str">
        <f t="shared" si="10"/>
        <v>Thu</v>
      </c>
      <c r="Q19" s="127" t="str">
        <f t="shared" si="10"/>
        <v>Fri</v>
      </c>
      <c r="R19" s="222" t="str">
        <f t="shared" si="10"/>
        <v>Sat</v>
      </c>
      <c r="S19" s="222" t="str">
        <f t="shared" si="10"/>
        <v>Sun</v>
      </c>
      <c r="T19" s="222" t="str">
        <f t="shared" si="10"/>
        <v>Mon</v>
      </c>
      <c r="U19" s="222" t="str">
        <f t="shared" si="10"/>
        <v>Tue</v>
      </c>
      <c r="V19" s="222" t="str">
        <f t="shared" si="10"/>
        <v>Wed</v>
      </c>
      <c r="W19" s="127" t="str">
        <f t="shared" si="10"/>
        <v>Thu</v>
      </c>
      <c r="X19" s="127" t="str">
        <f t="shared" si="10"/>
        <v>Fri</v>
      </c>
      <c r="Y19" s="255"/>
      <c r="Z19" s="255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88</v>
      </c>
      <c r="E20" s="134">
        <f t="shared" ref="E20:E25" si="12">Z20*8</f>
        <v>88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80">
        <v>8</v>
      </c>
      <c r="J20" s="180">
        <v>8</v>
      </c>
      <c r="K20" s="199"/>
      <c r="L20" s="199"/>
      <c r="M20" s="185"/>
      <c r="N20" s="186"/>
      <c r="O20" s="180">
        <v>8</v>
      </c>
      <c r="P20" s="180">
        <v>8</v>
      </c>
      <c r="Q20" s="183">
        <v>8</v>
      </c>
      <c r="R20" s="199"/>
      <c r="S20" s="199"/>
      <c r="T20" s="180">
        <v>8</v>
      </c>
      <c r="U20" s="180">
        <v>8</v>
      </c>
      <c r="V20" s="183">
        <v>8</v>
      </c>
      <c r="W20" s="183">
        <v>8</v>
      </c>
      <c r="X20" s="180">
        <v>8</v>
      </c>
      <c r="Y20" s="134">
        <f t="shared" ref="Y20:Y25" si="15">Z20-COUNTA(I20:X20)</f>
        <v>1</v>
      </c>
      <c r="Z20" s="136">
        <v>11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88</v>
      </c>
      <c r="E21" s="134">
        <f t="shared" si="12"/>
        <v>88</v>
      </c>
      <c r="F21" s="134">
        <f t="shared" si="13"/>
        <v>80</v>
      </c>
      <c r="G21" s="134">
        <f t="shared" si="14"/>
        <v>80</v>
      </c>
      <c r="H21" s="135">
        <v>0</v>
      </c>
      <c r="I21" s="180">
        <v>8</v>
      </c>
      <c r="J21" s="180">
        <v>8</v>
      </c>
      <c r="K21" s="199"/>
      <c r="L21" s="199"/>
      <c r="M21" s="185"/>
      <c r="N21" s="186"/>
      <c r="O21" s="183">
        <v>8</v>
      </c>
      <c r="P21" s="180">
        <v>8</v>
      </c>
      <c r="Q21" s="180">
        <v>8</v>
      </c>
      <c r="R21" s="200"/>
      <c r="S21" s="199"/>
      <c r="T21" s="180">
        <v>8</v>
      </c>
      <c r="U21" s="180">
        <v>8</v>
      </c>
      <c r="V21" s="183">
        <v>8</v>
      </c>
      <c r="W21" s="180">
        <v>8</v>
      </c>
      <c r="X21" s="180">
        <v>8</v>
      </c>
      <c r="Y21" s="134">
        <f t="shared" si="15"/>
        <v>1</v>
      </c>
      <c r="Z21" s="136">
        <v>11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88</v>
      </c>
      <c r="E22" s="134">
        <f t="shared" si="12"/>
        <v>88</v>
      </c>
      <c r="F22" s="134">
        <f t="shared" si="13"/>
        <v>88</v>
      </c>
      <c r="G22" s="134">
        <f t="shared" si="14"/>
        <v>88</v>
      </c>
      <c r="H22" s="135">
        <v>0</v>
      </c>
      <c r="I22" s="180">
        <v>8</v>
      </c>
      <c r="J22" s="180">
        <v>8</v>
      </c>
      <c r="K22" s="199"/>
      <c r="L22" s="199"/>
      <c r="M22" s="185"/>
      <c r="N22" s="180">
        <v>8</v>
      </c>
      <c r="O22" s="180">
        <v>8</v>
      </c>
      <c r="P22" s="180">
        <v>8</v>
      </c>
      <c r="Q22" s="180">
        <v>8</v>
      </c>
      <c r="R22" s="199"/>
      <c r="S22" s="199"/>
      <c r="T22" s="180">
        <v>8</v>
      </c>
      <c r="U22" s="180">
        <v>8</v>
      </c>
      <c r="V22" s="180">
        <v>8</v>
      </c>
      <c r="W22" s="180">
        <v>8</v>
      </c>
      <c r="X22" s="180">
        <v>8</v>
      </c>
      <c r="Y22" s="134">
        <f t="shared" si="15"/>
        <v>0</v>
      </c>
      <c r="Z22" s="136">
        <v>11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88</v>
      </c>
      <c r="E23" s="134">
        <f t="shared" si="12"/>
        <v>88</v>
      </c>
      <c r="F23" s="134">
        <f t="shared" si="13"/>
        <v>80</v>
      </c>
      <c r="G23" s="134">
        <f t="shared" si="14"/>
        <v>80</v>
      </c>
      <c r="H23" s="135">
        <v>0</v>
      </c>
      <c r="I23" s="180">
        <v>8</v>
      </c>
      <c r="J23" s="180">
        <v>8</v>
      </c>
      <c r="K23" s="199"/>
      <c r="L23" s="199"/>
      <c r="M23" s="185"/>
      <c r="N23" s="186"/>
      <c r="O23" s="183">
        <v>8</v>
      </c>
      <c r="P23" s="180">
        <v>8</v>
      </c>
      <c r="Q23" s="180">
        <v>8</v>
      </c>
      <c r="R23" s="200"/>
      <c r="S23" s="199"/>
      <c r="T23" s="180">
        <v>8</v>
      </c>
      <c r="U23" s="180">
        <v>8</v>
      </c>
      <c r="V23" s="183">
        <v>8</v>
      </c>
      <c r="W23" s="180">
        <v>8</v>
      </c>
      <c r="X23" s="180">
        <v>8</v>
      </c>
      <c r="Y23" s="134">
        <f t="shared" si="15"/>
        <v>1</v>
      </c>
      <c r="Z23" s="136">
        <v>11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88</v>
      </c>
      <c r="E24" s="134">
        <f t="shared" si="12"/>
        <v>88</v>
      </c>
      <c r="F24" s="134">
        <f t="shared" si="13"/>
        <v>80</v>
      </c>
      <c r="G24" s="134">
        <f t="shared" si="14"/>
        <v>80</v>
      </c>
      <c r="H24" s="135">
        <v>0</v>
      </c>
      <c r="I24" s="180">
        <v>8</v>
      </c>
      <c r="J24" s="180">
        <v>8</v>
      </c>
      <c r="K24" s="199"/>
      <c r="L24" s="199"/>
      <c r="M24" s="185"/>
      <c r="N24" s="186"/>
      <c r="O24" s="180">
        <v>8</v>
      </c>
      <c r="P24" s="180">
        <v>8</v>
      </c>
      <c r="Q24" s="180">
        <v>8</v>
      </c>
      <c r="R24" s="199"/>
      <c r="S24" s="199"/>
      <c r="T24" s="180">
        <v>8</v>
      </c>
      <c r="U24" s="180">
        <v>8</v>
      </c>
      <c r="V24" s="180">
        <v>8</v>
      </c>
      <c r="W24" s="180">
        <v>8</v>
      </c>
      <c r="X24" s="180">
        <v>8</v>
      </c>
      <c r="Y24" s="134">
        <f t="shared" si="15"/>
        <v>1</v>
      </c>
      <c r="Z24" s="136">
        <v>11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88</v>
      </c>
      <c r="E25" s="134">
        <f t="shared" si="12"/>
        <v>88</v>
      </c>
      <c r="F25" s="134">
        <f t="shared" si="13"/>
        <v>80</v>
      </c>
      <c r="G25" s="134">
        <f t="shared" si="14"/>
        <v>80</v>
      </c>
      <c r="H25" s="135">
        <v>0</v>
      </c>
      <c r="I25" s="183">
        <v>8</v>
      </c>
      <c r="J25" s="183">
        <v>8</v>
      </c>
      <c r="K25" s="200"/>
      <c r="L25" s="200"/>
      <c r="M25" s="235"/>
      <c r="N25" s="236"/>
      <c r="O25" s="183">
        <v>8</v>
      </c>
      <c r="P25" s="183">
        <v>8</v>
      </c>
      <c r="Q25" s="183">
        <v>8</v>
      </c>
      <c r="R25" s="200"/>
      <c r="S25" s="200"/>
      <c r="T25" s="183">
        <v>8</v>
      </c>
      <c r="U25" s="183">
        <v>8</v>
      </c>
      <c r="V25" s="183">
        <v>8</v>
      </c>
      <c r="W25" s="183">
        <v>8</v>
      </c>
      <c r="X25" s="180">
        <v>8</v>
      </c>
      <c r="Y25" s="134">
        <f t="shared" si="15"/>
        <v>1</v>
      </c>
      <c r="Z25" s="136">
        <v>11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528</v>
      </c>
      <c r="E30" s="224">
        <f t="shared" si="16"/>
        <v>528</v>
      </c>
      <c r="F30" s="224">
        <f t="shared" si="16"/>
        <v>488</v>
      </c>
      <c r="G30" s="224">
        <f t="shared" si="16"/>
        <v>488</v>
      </c>
      <c r="H30" s="224">
        <f t="shared" si="16"/>
        <v>0</v>
      </c>
      <c r="I30" s="224">
        <f t="shared" si="16"/>
        <v>48</v>
      </c>
      <c r="J30" s="224">
        <f t="shared" si="16"/>
        <v>48</v>
      </c>
      <c r="K30" s="224">
        <f t="shared" si="16"/>
        <v>0</v>
      </c>
      <c r="L30" s="224">
        <f t="shared" si="16"/>
        <v>0</v>
      </c>
      <c r="M30" s="224">
        <f t="shared" si="16"/>
        <v>0</v>
      </c>
      <c r="N30" s="224">
        <f t="shared" si="16"/>
        <v>8</v>
      </c>
      <c r="O30" s="224">
        <f t="shared" si="16"/>
        <v>48</v>
      </c>
      <c r="P30" s="224">
        <f t="shared" si="16"/>
        <v>48</v>
      </c>
      <c r="Q30" s="224">
        <f t="shared" si="16"/>
        <v>48</v>
      </c>
      <c r="R30" s="224">
        <f t="shared" si="16"/>
        <v>0</v>
      </c>
      <c r="S30" s="224">
        <f t="shared" si="16"/>
        <v>0</v>
      </c>
      <c r="T30" s="224">
        <f t="shared" si="16"/>
        <v>48</v>
      </c>
      <c r="U30" s="224">
        <f t="shared" si="16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144</v>
      </c>
      <c r="C34" s="154">
        <f t="shared" ref="C34:C39" si="17">E5+E20</f>
        <v>168</v>
      </c>
      <c r="D34" s="155">
        <f t="shared" ref="D34:D39" si="18">B34</f>
        <v>144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160</v>
      </c>
      <c r="C35" s="154">
        <f t="shared" si="17"/>
        <v>168</v>
      </c>
      <c r="D35" s="155">
        <f t="shared" si="18"/>
        <v>160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160</v>
      </c>
      <c r="C36" s="154">
        <f t="shared" si="17"/>
        <v>168</v>
      </c>
      <c r="D36" s="155">
        <f t="shared" si="18"/>
        <v>160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144</v>
      </c>
      <c r="C37" s="154">
        <f t="shared" si="17"/>
        <v>168</v>
      </c>
      <c r="D37" s="155">
        <f t="shared" si="18"/>
        <v>144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144</v>
      </c>
      <c r="C38" s="217">
        <f t="shared" si="17"/>
        <v>168</v>
      </c>
      <c r="D38" s="218">
        <f t="shared" si="18"/>
        <v>144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152</v>
      </c>
      <c r="C39" s="159">
        <f t="shared" si="17"/>
        <v>168</v>
      </c>
      <c r="D39" s="160">
        <f t="shared" si="18"/>
        <v>152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6" t="s">
        <v>0</v>
      </c>
      <c r="B46" s="257"/>
      <c r="C46" s="258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1</v>
      </c>
      <c r="C49" s="171">
        <f>B49*8</f>
        <v>8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6" t="s">
        <v>22</v>
      </c>
      <c r="B53" s="257"/>
      <c r="C53" s="258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12</v>
      </c>
      <c r="C55" s="171">
        <f t="shared" ref="C55:C56" si="21">B55*8</f>
        <v>96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1</v>
      </c>
      <c r="C56" s="171">
        <f t="shared" si="21"/>
        <v>8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11</v>
      </c>
      <c r="C57" s="173">
        <f t="shared" si="22"/>
        <v>88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168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4"/>
    <row r="261" s="115" customFormat="1" ht="14"/>
    <row r="262" s="115" customFormat="1" ht="14"/>
    <row r="263" s="115" customFormat="1" ht="14"/>
    <row r="264" s="115" customFormat="1" ht="14"/>
    <row r="265" s="115" customFormat="1" ht="14"/>
    <row r="266" s="115" customFormat="1" ht="14"/>
    <row r="267" s="115" customFormat="1" ht="14"/>
    <row r="268" s="115" customFormat="1" ht="14"/>
    <row r="269" s="115" customFormat="1" ht="14"/>
    <row r="270" s="115" customFormat="1" ht="14"/>
    <row r="271" s="115" customFormat="1" ht="14"/>
    <row r="272" s="115" customFormat="1" ht="14"/>
    <row r="273" s="115" customFormat="1" ht="14"/>
    <row r="274" s="115" customFormat="1" ht="14"/>
    <row r="275" s="115" customFormat="1" ht="14"/>
    <row r="276" s="115" customFormat="1" ht="14"/>
    <row r="277" s="115" customFormat="1" ht="14"/>
    <row r="278" s="115" customFormat="1" ht="14"/>
    <row r="279" s="115" customFormat="1" ht="14"/>
    <row r="280" s="115" customFormat="1" ht="14"/>
    <row r="281" s="115" customFormat="1" ht="14"/>
    <row r="282" s="115" customFormat="1" ht="14"/>
    <row r="283" s="115" customFormat="1" ht="14"/>
    <row r="284" s="115" customFormat="1" ht="14"/>
    <row r="285" s="115" customFormat="1" ht="14"/>
    <row r="286" s="115" customFormat="1" ht="14"/>
    <row r="287" s="115" customFormat="1" ht="14"/>
    <row r="288" s="115" customFormat="1" ht="14"/>
    <row r="289" s="115" customFormat="1" ht="14"/>
    <row r="290" s="115" customFormat="1" ht="14"/>
    <row r="291" s="115" customFormat="1" ht="14"/>
    <row r="292" s="115" customFormat="1" ht="14"/>
    <row r="293" s="115" customFormat="1" ht="14"/>
    <row r="294" s="115" customFormat="1" ht="14"/>
    <row r="295" s="115" customFormat="1" ht="14"/>
    <row r="296" s="115" customFormat="1" ht="14"/>
    <row r="297" s="115" customFormat="1" ht="14"/>
    <row r="298" s="115" customFormat="1" ht="14"/>
    <row r="299" s="115" customFormat="1" ht="14"/>
    <row r="300" s="115" customFormat="1" ht="14"/>
    <row r="301" s="115" customFormat="1" ht="14"/>
    <row r="302" s="115" customFormat="1" ht="14"/>
    <row r="303" s="115" customFormat="1" ht="14"/>
    <row r="304" s="115" customFormat="1" ht="14"/>
    <row r="305" s="115" customFormat="1" ht="14"/>
    <row r="306" s="115" customFormat="1" ht="14"/>
    <row r="307" s="115" customFormat="1" ht="14"/>
    <row r="308" s="115" customFormat="1" ht="14"/>
    <row r="309" s="115" customFormat="1" ht="14"/>
    <row r="310" s="115" customFormat="1" ht="14"/>
    <row r="311" s="115" customFormat="1" ht="14"/>
    <row r="312" s="115" customFormat="1" ht="14"/>
    <row r="313" s="115" customFormat="1" ht="14"/>
    <row r="314" s="115" customFormat="1" ht="14"/>
    <row r="315" s="115" customFormat="1" ht="14"/>
    <row r="316" s="115" customFormat="1" ht="14"/>
    <row r="317" s="115" customFormat="1" ht="14"/>
    <row r="318" s="115" customFormat="1" ht="14"/>
    <row r="319" s="115" customFormat="1" ht="14"/>
    <row r="320" s="115" customFormat="1" ht="14"/>
    <row r="321" s="115" customFormat="1" ht="14"/>
    <row r="322" s="115" customFormat="1" ht="14"/>
    <row r="323" s="115" customFormat="1" ht="14"/>
    <row r="324" s="115" customFormat="1" ht="14"/>
    <row r="325" s="115" customFormat="1" ht="14"/>
    <row r="326" s="115" customFormat="1" ht="14"/>
    <row r="327" s="115" customFormat="1" ht="14"/>
    <row r="328" s="115" customFormat="1" ht="14"/>
    <row r="329" s="115" customFormat="1" ht="14"/>
    <row r="330" s="115" customFormat="1" ht="14"/>
    <row r="331" s="115" customFormat="1" ht="14"/>
    <row r="332" s="115" customFormat="1" ht="14"/>
    <row r="333" s="115" customFormat="1" ht="14"/>
    <row r="334" s="115" customFormat="1" ht="14"/>
    <row r="335" s="115" customFormat="1" ht="14"/>
    <row r="336" s="115" customFormat="1" ht="14"/>
    <row r="337" s="115" customFormat="1" ht="14"/>
    <row r="338" s="115" customFormat="1" ht="14"/>
    <row r="339" s="115" customFormat="1" ht="14"/>
    <row r="340" s="115" customFormat="1" ht="14"/>
    <row r="341" s="115" customFormat="1" ht="14"/>
    <row r="342" s="115" customFormat="1" ht="14"/>
    <row r="343" s="115" customFormat="1" ht="14"/>
    <row r="344" s="115" customFormat="1" ht="14"/>
    <row r="345" s="115" customFormat="1" ht="14"/>
    <row r="346" s="115" customFormat="1" ht="14"/>
    <row r="347" s="115" customFormat="1" ht="14"/>
    <row r="348" s="115" customFormat="1" ht="14"/>
    <row r="349" s="115" customFormat="1" ht="14"/>
    <row r="350" s="115" customFormat="1" ht="14"/>
    <row r="351" s="115" customFormat="1" ht="14"/>
    <row r="352" s="115" customFormat="1" ht="14"/>
    <row r="353" s="115" customFormat="1" ht="14"/>
    <row r="354" s="115" customFormat="1" ht="14"/>
    <row r="355" s="115" customFormat="1" ht="14"/>
    <row r="356" s="115" customFormat="1" ht="14"/>
    <row r="357" s="115" customFormat="1" ht="14"/>
    <row r="358" s="115" customFormat="1" ht="14"/>
    <row r="359" s="115" customFormat="1" ht="14"/>
    <row r="360" s="115" customFormat="1" ht="14"/>
    <row r="361" s="115" customFormat="1" ht="14"/>
    <row r="362" s="115" customFormat="1" ht="14"/>
    <row r="363" s="115" customFormat="1" ht="14"/>
    <row r="364" s="115" customFormat="1" ht="14"/>
    <row r="365" s="115" customFormat="1" ht="14"/>
    <row r="366" s="115" customFormat="1" ht="14"/>
    <row r="367" s="115" customFormat="1" ht="14"/>
    <row r="368" s="115" customFormat="1" ht="14"/>
    <row r="369" s="115" customFormat="1" ht="14"/>
    <row r="370" s="115" customFormat="1" ht="14"/>
    <row r="371" s="115" customFormat="1" ht="14"/>
    <row r="372" s="115" customFormat="1" ht="14"/>
    <row r="373" s="115" customFormat="1" ht="14"/>
    <row r="374" s="115" customFormat="1" ht="14"/>
    <row r="375" s="115" customFormat="1" ht="14"/>
    <row r="376" s="115" customFormat="1" ht="14"/>
    <row r="377" s="115" customFormat="1" ht="14"/>
    <row r="378" s="115" customFormat="1" ht="14"/>
    <row r="379" s="115" customFormat="1" ht="14"/>
    <row r="380" s="115" customFormat="1" ht="14"/>
    <row r="381" s="115" customFormat="1" ht="14"/>
    <row r="382" s="115" customFormat="1" ht="14"/>
    <row r="383" s="115" customFormat="1" ht="14"/>
    <row r="384" s="115" customFormat="1" ht="14"/>
    <row r="385" s="115" customFormat="1" ht="14"/>
    <row r="386" s="115" customFormat="1" ht="14"/>
    <row r="387" s="115" customFormat="1" ht="14"/>
    <row r="388" s="115" customFormat="1" ht="14"/>
    <row r="389" s="115" customFormat="1" ht="14"/>
    <row r="390" s="115" customFormat="1" ht="14"/>
    <row r="391" s="115" customFormat="1" ht="14"/>
    <row r="392" s="115" customFormat="1" ht="14"/>
    <row r="393" s="115" customFormat="1" ht="14"/>
    <row r="394" s="115" customFormat="1" ht="14"/>
    <row r="395" s="115" customFormat="1" ht="14"/>
    <row r="396" s="115" customFormat="1" ht="14"/>
    <row r="397" s="115" customFormat="1" ht="14"/>
    <row r="398" s="115" customFormat="1" ht="14"/>
    <row r="399" s="115" customFormat="1" ht="14"/>
    <row r="400" s="115" customFormat="1" ht="14"/>
    <row r="401" s="115" customFormat="1" ht="14"/>
    <row r="402" s="115" customFormat="1" ht="14"/>
    <row r="403" s="115" customFormat="1" ht="14"/>
    <row r="404" s="115" customFormat="1" ht="14"/>
    <row r="405" s="115" customFormat="1" ht="14"/>
    <row r="406" s="115" customFormat="1" ht="14"/>
    <row r="407" s="115" customFormat="1" ht="14"/>
    <row r="408" s="115" customFormat="1" ht="14"/>
    <row r="409" s="115" customFormat="1" ht="14"/>
    <row r="410" s="115" customFormat="1" ht="14"/>
    <row r="411" s="115" customFormat="1" ht="14"/>
    <row r="412" s="115" customFormat="1" ht="14"/>
    <row r="413" s="115" customFormat="1" ht="14"/>
    <row r="414" s="115" customFormat="1" ht="14"/>
    <row r="415" s="115" customFormat="1" ht="14"/>
    <row r="416" s="115" customFormat="1" ht="14"/>
    <row r="417" s="115" customFormat="1" ht="14"/>
    <row r="418" s="115" customFormat="1" ht="14"/>
    <row r="419" s="115" customFormat="1" ht="14"/>
    <row r="420" s="115" customFormat="1" ht="14"/>
    <row r="421" s="115" customFormat="1" ht="14"/>
    <row r="422" s="115" customFormat="1" ht="14"/>
    <row r="423" s="115" customFormat="1" ht="14"/>
    <row r="424" s="115" customFormat="1" ht="14"/>
    <row r="425" s="115" customFormat="1" ht="14"/>
    <row r="426" s="115" customFormat="1" ht="14"/>
    <row r="427" s="115" customFormat="1" ht="14"/>
    <row r="428" s="115" customFormat="1" ht="14"/>
    <row r="429" s="115" customFormat="1" ht="14"/>
    <row r="430" s="115" customFormat="1" ht="14"/>
    <row r="431" s="115" customFormat="1" ht="14"/>
    <row r="432" s="115" customFormat="1" ht="14"/>
    <row r="433" s="115" customFormat="1" ht="14"/>
    <row r="434" s="115" customFormat="1" ht="14"/>
    <row r="435" s="115" customFormat="1" ht="14"/>
    <row r="436" s="115" customFormat="1" ht="14"/>
    <row r="437" s="115" customFormat="1" ht="14"/>
    <row r="438" s="115" customFormat="1" ht="14"/>
    <row r="439" s="115" customFormat="1" ht="14"/>
    <row r="440" s="115" customFormat="1" ht="14"/>
    <row r="441" s="115" customFormat="1" ht="14"/>
    <row r="442" s="115" customFormat="1" ht="14"/>
    <row r="443" s="115" customFormat="1" ht="14"/>
    <row r="444" s="115" customFormat="1" ht="14"/>
    <row r="445" s="115" customFormat="1" ht="14"/>
    <row r="446" s="115" customFormat="1" ht="14"/>
    <row r="447" s="115" customFormat="1" ht="14"/>
    <row r="448" s="115" customFormat="1" ht="14"/>
    <row r="449" s="115" customFormat="1" ht="14"/>
    <row r="450" s="115" customFormat="1" ht="14"/>
    <row r="451" s="115" customFormat="1" ht="14"/>
    <row r="452" s="115" customFormat="1" ht="14"/>
    <row r="453" s="115" customFormat="1" ht="14"/>
    <row r="454" s="115" customFormat="1" ht="14"/>
    <row r="455" s="115" customFormat="1" ht="14"/>
    <row r="456" s="115" customFormat="1" ht="14"/>
    <row r="457" s="115" customFormat="1" ht="14"/>
    <row r="458" s="115" customFormat="1" ht="14"/>
    <row r="459" s="115" customFormat="1" ht="14"/>
    <row r="460" s="115" customFormat="1" ht="14"/>
    <row r="461" s="115" customFormat="1" ht="14"/>
    <row r="462" s="115" customFormat="1" ht="14"/>
    <row r="463" s="115" customFormat="1" ht="14"/>
    <row r="464" s="115" customFormat="1" ht="14"/>
    <row r="465" s="115" customFormat="1" ht="14"/>
    <row r="466" s="115" customFormat="1" ht="14"/>
    <row r="467" s="115" customFormat="1" ht="14"/>
    <row r="468" s="115" customFormat="1" ht="14"/>
    <row r="469" s="115" customFormat="1" ht="14"/>
    <row r="470" s="115" customFormat="1" ht="14"/>
    <row r="471" s="115" customFormat="1" ht="14"/>
    <row r="472" s="115" customFormat="1" ht="14"/>
    <row r="473" s="115" customFormat="1" ht="14"/>
    <row r="474" s="115" customFormat="1" ht="14"/>
    <row r="475" s="115" customFormat="1" ht="14"/>
    <row r="476" s="115" customFormat="1" ht="14"/>
    <row r="477" s="115" customFormat="1" ht="14"/>
    <row r="478" s="115" customFormat="1" ht="14"/>
    <row r="479" s="115" customFormat="1" ht="14"/>
    <row r="480" s="115" customFormat="1" ht="14"/>
    <row r="481" s="115" customFormat="1" ht="14"/>
    <row r="482" s="115" customFormat="1" ht="14"/>
    <row r="483" s="115" customFormat="1" ht="14"/>
    <row r="484" s="115" customFormat="1" ht="14"/>
    <row r="485" s="115" customFormat="1" ht="14"/>
    <row r="486" s="115" customFormat="1" ht="14"/>
    <row r="487" s="115" customFormat="1" ht="14"/>
    <row r="488" s="115" customFormat="1" ht="14"/>
    <row r="489" s="115" customFormat="1" ht="14"/>
    <row r="490" s="115" customFormat="1" ht="14"/>
    <row r="491" s="115" customFormat="1" ht="14"/>
    <row r="492" s="115" customFormat="1" ht="14"/>
    <row r="493" s="115" customFormat="1" ht="14"/>
    <row r="494" s="115" customFormat="1" ht="14"/>
    <row r="495" s="115" customFormat="1" ht="14"/>
    <row r="496" s="115" customFormat="1" ht="14"/>
    <row r="497" s="115" customFormat="1" ht="14"/>
    <row r="498" s="115" customFormat="1" ht="14"/>
    <row r="499" s="115" customFormat="1" ht="14"/>
    <row r="500" s="115" customFormat="1" ht="14"/>
    <row r="501" s="115" customFormat="1" ht="14"/>
    <row r="502" s="115" customFormat="1" ht="14"/>
    <row r="503" s="115" customFormat="1" ht="14"/>
    <row r="504" s="115" customFormat="1" ht="14"/>
    <row r="505" s="115" customFormat="1" ht="14"/>
    <row r="506" s="115" customFormat="1" ht="14"/>
    <row r="507" s="115" customFormat="1" ht="14"/>
    <row r="508" s="115" customFormat="1" ht="14"/>
    <row r="509" s="115" customFormat="1" ht="14"/>
    <row r="510" s="115" customFormat="1" ht="14"/>
    <row r="511" s="115" customFormat="1" ht="14"/>
    <row r="512" s="115" customFormat="1" ht="14"/>
    <row r="513" s="115" customFormat="1" ht="14"/>
    <row r="514" s="115" customFormat="1" ht="14"/>
    <row r="515" s="115" customFormat="1" ht="14"/>
    <row r="516" s="115" customFormat="1" ht="14"/>
    <row r="517" s="115" customFormat="1" ht="14"/>
    <row r="518" s="115" customFormat="1" ht="14"/>
    <row r="519" s="115" customFormat="1" ht="14"/>
    <row r="520" s="115" customFormat="1" ht="14"/>
    <row r="521" s="115" customFormat="1" ht="14"/>
    <row r="522" s="115" customFormat="1" ht="14"/>
    <row r="523" s="115" customFormat="1" ht="14"/>
    <row r="524" s="115" customFormat="1" ht="14"/>
    <row r="525" s="115" customFormat="1" ht="14"/>
    <row r="526" s="115" customFormat="1" ht="14"/>
    <row r="527" s="115" customFormat="1" ht="14"/>
    <row r="528" s="115" customFormat="1" ht="14"/>
    <row r="529" s="115" customFormat="1" ht="14"/>
    <row r="530" s="115" customFormat="1" ht="14"/>
    <row r="531" s="115" customFormat="1" ht="14"/>
    <row r="532" s="115" customFormat="1" ht="14"/>
    <row r="533" s="115" customFormat="1" ht="14"/>
    <row r="534" s="115" customFormat="1" ht="14"/>
    <row r="535" s="115" customFormat="1" ht="14"/>
    <row r="536" s="115" customFormat="1" ht="14"/>
    <row r="537" s="115" customFormat="1" ht="14"/>
    <row r="538" s="115" customFormat="1" ht="14"/>
    <row r="539" s="115" customFormat="1" ht="14"/>
    <row r="540" s="115" customFormat="1" ht="14"/>
    <row r="541" s="115" customFormat="1" ht="14"/>
    <row r="542" s="115" customFormat="1" ht="14"/>
    <row r="543" s="115" customFormat="1" ht="14"/>
    <row r="544" s="115" customFormat="1" ht="14"/>
    <row r="545" s="115" customFormat="1" ht="14"/>
    <row r="546" s="115" customFormat="1" ht="14"/>
    <row r="547" s="115" customFormat="1" ht="14"/>
    <row r="548" s="115" customFormat="1" ht="14"/>
    <row r="549" s="115" customFormat="1" ht="14"/>
    <row r="550" s="115" customFormat="1" ht="14"/>
    <row r="551" s="115" customFormat="1" ht="14"/>
    <row r="552" s="115" customFormat="1" ht="14"/>
    <row r="553" s="115" customFormat="1" ht="14"/>
    <row r="554" s="115" customFormat="1" ht="14"/>
    <row r="555" s="115" customFormat="1" ht="14"/>
    <row r="556" s="115" customFormat="1" ht="14"/>
    <row r="557" s="115" customFormat="1" ht="14"/>
    <row r="558" s="115" customFormat="1" ht="14"/>
    <row r="559" s="115" customFormat="1" ht="14"/>
    <row r="560" s="115" customFormat="1" ht="14"/>
    <row r="561" s="115" customFormat="1" ht="14"/>
    <row r="562" s="115" customFormat="1" ht="14"/>
    <row r="563" s="115" customFormat="1" ht="14"/>
    <row r="564" s="115" customFormat="1" ht="14"/>
    <row r="565" s="115" customFormat="1" ht="14"/>
    <row r="566" s="115" customFormat="1" ht="14"/>
    <row r="567" s="115" customFormat="1" ht="14"/>
    <row r="568" s="115" customFormat="1" ht="14"/>
    <row r="569" s="115" customFormat="1" ht="14"/>
    <row r="570" s="115" customFormat="1" ht="14"/>
    <row r="571" s="115" customFormat="1" ht="14"/>
    <row r="572" s="115" customFormat="1" ht="14"/>
    <row r="573" s="115" customFormat="1" ht="14"/>
    <row r="574" s="115" customFormat="1" ht="14"/>
    <row r="575" s="115" customFormat="1" ht="14"/>
    <row r="576" s="115" customFormat="1" ht="14"/>
    <row r="577" s="115" customFormat="1" ht="14"/>
    <row r="578" s="115" customFormat="1" ht="14"/>
    <row r="579" s="115" customFormat="1" ht="14"/>
    <row r="580" s="115" customFormat="1" ht="14"/>
    <row r="581" s="115" customFormat="1" ht="14"/>
    <row r="582" s="115" customFormat="1" ht="14"/>
    <row r="583" s="115" customFormat="1" ht="14"/>
    <row r="584" s="115" customFormat="1" ht="14"/>
    <row r="585" s="115" customFormat="1" ht="14"/>
    <row r="586" s="115" customFormat="1" ht="14"/>
    <row r="587" s="115" customFormat="1" ht="14"/>
    <row r="588" s="115" customFormat="1" ht="14"/>
    <row r="589" s="115" customFormat="1" ht="14"/>
    <row r="590" s="115" customFormat="1" ht="14"/>
    <row r="591" s="115" customFormat="1" ht="14"/>
    <row r="592" s="115" customFormat="1" ht="14"/>
    <row r="593" s="115" customFormat="1" ht="14"/>
    <row r="594" s="115" customFormat="1" ht="14"/>
    <row r="595" s="115" customFormat="1" ht="14"/>
    <row r="596" s="115" customFormat="1" ht="14"/>
    <row r="597" s="115" customFormat="1" ht="14"/>
    <row r="598" s="115" customFormat="1" ht="14"/>
    <row r="599" s="115" customFormat="1" ht="14"/>
    <row r="600" s="115" customFormat="1" ht="14"/>
    <row r="601" s="115" customFormat="1" ht="14"/>
    <row r="602" s="115" customFormat="1" ht="14"/>
    <row r="603" s="115" customFormat="1" ht="14"/>
    <row r="604" s="115" customFormat="1" ht="14"/>
    <row r="605" s="115" customFormat="1" ht="14"/>
    <row r="606" s="115" customFormat="1" ht="14"/>
    <row r="607" s="115" customFormat="1" ht="14"/>
    <row r="608" s="115" customFormat="1" ht="14"/>
    <row r="609" s="115" customFormat="1" ht="14"/>
    <row r="610" s="115" customFormat="1" ht="14"/>
    <row r="611" s="115" customFormat="1" ht="14"/>
    <row r="612" s="115" customFormat="1" ht="14"/>
    <row r="613" s="115" customFormat="1" ht="14"/>
    <row r="614" s="115" customFormat="1" ht="14"/>
    <row r="615" s="115" customFormat="1" ht="14"/>
    <row r="616" s="115" customFormat="1" ht="14"/>
    <row r="617" s="115" customFormat="1" ht="14"/>
    <row r="618" s="115" customFormat="1" ht="14"/>
    <row r="619" s="115" customFormat="1" ht="14"/>
    <row r="620" s="115" customFormat="1" ht="14"/>
    <row r="621" s="115" customFormat="1" ht="14"/>
    <row r="622" s="115" customFormat="1" ht="14"/>
    <row r="623" s="115" customFormat="1" ht="14"/>
    <row r="624" s="115" customFormat="1" ht="14"/>
    <row r="625" s="115" customFormat="1" ht="14"/>
    <row r="626" s="115" customFormat="1" ht="14"/>
    <row r="627" s="115" customFormat="1" ht="14"/>
    <row r="628" s="115" customFormat="1" ht="14"/>
    <row r="629" s="115" customFormat="1" ht="14"/>
    <row r="630" s="115" customFormat="1" ht="14"/>
    <row r="631" s="115" customFormat="1" ht="14"/>
    <row r="632" s="115" customFormat="1" ht="14"/>
    <row r="633" s="115" customFormat="1" ht="14"/>
    <row r="634" s="115" customFormat="1" ht="14"/>
    <row r="635" s="115" customFormat="1" ht="14"/>
    <row r="636" s="115" customFormat="1" ht="14"/>
    <row r="637" s="115" customFormat="1" ht="14"/>
    <row r="638" s="115" customFormat="1" ht="14"/>
    <row r="639" s="115" customFormat="1" ht="14"/>
    <row r="640" s="115" customFormat="1" ht="14"/>
    <row r="641" s="115" customFormat="1" ht="14"/>
    <row r="642" s="115" customFormat="1" ht="14"/>
    <row r="643" s="115" customFormat="1" ht="14"/>
    <row r="644" s="115" customFormat="1" ht="14"/>
    <row r="645" s="115" customFormat="1" ht="14"/>
    <row r="646" s="115" customFormat="1" ht="14"/>
    <row r="647" s="115" customFormat="1" ht="14"/>
    <row r="648" s="115" customFormat="1" ht="14"/>
    <row r="649" s="115" customFormat="1" ht="14"/>
    <row r="650" s="115" customFormat="1" ht="14"/>
    <row r="651" s="115" customFormat="1" ht="14"/>
    <row r="652" s="115" customFormat="1" ht="14"/>
    <row r="653" s="115" customFormat="1" ht="14"/>
    <row r="654" s="115" customFormat="1" ht="14"/>
    <row r="655" s="115" customFormat="1" ht="14"/>
    <row r="656" s="115" customFormat="1" ht="14"/>
    <row r="657" s="115" customFormat="1" ht="14"/>
    <row r="658" s="115" customFormat="1" ht="14"/>
    <row r="659" s="115" customFormat="1" ht="14"/>
    <row r="660" s="115" customFormat="1" ht="14"/>
    <row r="661" s="115" customFormat="1" ht="14"/>
    <row r="662" s="115" customFormat="1" ht="14"/>
    <row r="663" s="115" customFormat="1" ht="14"/>
    <row r="664" s="115" customFormat="1" ht="14"/>
    <row r="665" s="115" customFormat="1" ht="14"/>
    <row r="666" s="115" customFormat="1" ht="14"/>
    <row r="667" s="115" customFormat="1" ht="14"/>
    <row r="668" s="115" customFormat="1" ht="14"/>
    <row r="669" s="115" customFormat="1" ht="14"/>
    <row r="670" s="115" customFormat="1" ht="14"/>
    <row r="671" s="115" customFormat="1" ht="14"/>
    <row r="672" s="115" customFormat="1" ht="14"/>
    <row r="673" s="115" customFormat="1" ht="14"/>
    <row r="674" s="115" customFormat="1" ht="14"/>
    <row r="675" s="115" customFormat="1" ht="14"/>
    <row r="676" s="115" customFormat="1" ht="14"/>
    <row r="677" s="115" customFormat="1" ht="14"/>
    <row r="678" s="115" customFormat="1" ht="14"/>
    <row r="679" s="115" customFormat="1" ht="14"/>
    <row r="680" s="115" customFormat="1" ht="14"/>
    <row r="681" s="115" customFormat="1" ht="14"/>
    <row r="682" s="115" customFormat="1" ht="14"/>
    <row r="683" s="115" customFormat="1" ht="14"/>
    <row r="684" s="115" customFormat="1" ht="14"/>
    <row r="685" s="115" customFormat="1" ht="14"/>
    <row r="686" s="115" customFormat="1" ht="14"/>
    <row r="687" s="115" customFormat="1" ht="14"/>
    <row r="688" s="115" customFormat="1" ht="14"/>
    <row r="689" s="115" customFormat="1" ht="14"/>
    <row r="690" s="115" customFormat="1" ht="14"/>
    <row r="691" s="115" customFormat="1" ht="14"/>
    <row r="692" s="115" customFormat="1" ht="14"/>
    <row r="693" s="115" customFormat="1" ht="14"/>
    <row r="694" s="115" customFormat="1" ht="14"/>
    <row r="695" s="115" customFormat="1" ht="14"/>
    <row r="696" s="115" customFormat="1" ht="14"/>
    <row r="697" s="115" customFormat="1" ht="14"/>
    <row r="698" s="115" customFormat="1" ht="14"/>
    <row r="699" s="115" customFormat="1" ht="14"/>
    <row r="700" s="115" customFormat="1" ht="14"/>
    <row r="701" s="115" customFormat="1" ht="14"/>
    <row r="702" s="115" customFormat="1" ht="14"/>
    <row r="703" s="115" customFormat="1" ht="14"/>
    <row r="704" s="115" customFormat="1" ht="14"/>
    <row r="705" s="115" customFormat="1" ht="14"/>
    <row r="706" s="115" customFormat="1" ht="14"/>
    <row r="707" s="115" customFormat="1" ht="14"/>
    <row r="708" s="115" customFormat="1" ht="14"/>
    <row r="709" s="115" customFormat="1" ht="14"/>
    <row r="710" s="115" customFormat="1" ht="14"/>
    <row r="711" s="115" customFormat="1" ht="14"/>
    <row r="712" s="115" customFormat="1" ht="14"/>
    <row r="713" s="115" customFormat="1" ht="14"/>
    <row r="714" s="115" customFormat="1" ht="14"/>
    <row r="715" s="115" customFormat="1" ht="14"/>
    <row r="716" s="115" customFormat="1" ht="14"/>
    <row r="717" s="115" customFormat="1" ht="14"/>
    <row r="718" s="115" customFormat="1" ht="14"/>
    <row r="719" s="115" customFormat="1" ht="14"/>
    <row r="720" s="115" customFormat="1" ht="14"/>
    <row r="721" s="115" customFormat="1" ht="14"/>
    <row r="722" s="115" customFormat="1" ht="14"/>
    <row r="723" s="115" customFormat="1" ht="14"/>
    <row r="724" s="115" customFormat="1" ht="14"/>
    <row r="725" s="115" customFormat="1" ht="14"/>
    <row r="726" s="115" customFormat="1" ht="14"/>
    <row r="727" s="115" customFormat="1" ht="14"/>
    <row r="728" s="115" customFormat="1" ht="14"/>
    <row r="729" s="115" customFormat="1" ht="14"/>
    <row r="730" s="115" customFormat="1" ht="14"/>
    <row r="731" s="115" customFormat="1" ht="14"/>
    <row r="732" s="115" customFormat="1" ht="14"/>
    <row r="733" s="115" customFormat="1" ht="14"/>
    <row r="734" s="115" customFormat="1" ht="14"/>
    <row r="735" s="115" customFormat="1" ht="14"/>
    <row r="736" s="115" customFormat="1" ht="14"/>
    <row r="737" s="115" customFormat="1" ht="14"/>
    <row r="738" s="115" customFormat="1" ht="14"/>
    <row r="739" s="115" customFormat="1" ht="14"/>
    <row r="740" s="115" customFormat="1" ht="14"/>
    <row r="741" s="115" customFormat="1" ht="14"/>
    <row r="742" s="115" customFormat="1" ht="14"/>
    <row r="743" s="115" customFormat="1" ht="14"/>
    <row r="744" s="115" customFormat="1" ht="14"/>
    <row r="745" s="115" customFormat="1" ht="14"/>
    <row r="746" s="115" customFormat="1" ht="14"/>
    <row r="747" s="115" customFormat="1" ht="14"/>
    <row r="748" s="115" customFormat="1" ht="14"/>
    <row r="749" s="115" customFormat="1" ht="14"/>
    <row r="750" s="115" customFormat="1" ht="14"/>
    <row r="751" s="115" customFormat="1" ht="14"/>
    <row r="752" s="115" customFormat="1" ht="14"/>
    <row r="753" s="115" customFormat="1" ht="14"/>
    <row r="754" s="115" customFormat="1" ht="14"/>
    <row r="755" s="115" customFormat="1" ht="14"/>
    <row r="756" s="115" customFormat="1" ht="14"/>
    <row r="757" s="115" customFormat="1" ht="14"/>
    <row r="758" s="115" customFormat="1" ht="14"/>
    <row r="759" s="115" customFormat="1" ht="14"/>
    <row r="760" s="115" customFormat="1" ht="14"/>
    <row r="761" s="115" customFormat="1" ht="14"/>
    <row r="762" s="115" customFormat="1" ht="14"/>
    <row r="763" s="115" customFormat="1" ht="14"/>
    <row r="764" s="115" customFormat="1" ht="14"/>
    <row r="765" s="115" customFormat="1" ht="14"/>
    <row r="766" s="115" customFormat="1" ht="14"/>
    <row r="767" s="115" customFormat="1" ht="14"/>
    <row r="768" s="115" customFormat="1" ht="14"/>
    <row r="769" s="115" customFormat="1" ht="14"/>
    <row r="770" s="115" customFormat="1" ht="14"/>
    <row r="771" s="115" customFormat="1" ht="14"/>
    <row r="772" s="115" customFormat="1" ht="14"/>
    <row r="773" s="115" customFormat="1" ht="14"/>
    <row r="774" s="115" customFormat="1" ht="14"/>
    <row r="775" s="115" customFormat="1" ht="14"/>
    <row r="776" s="115" customFormat="1" ht="14"/>
    <row r="777" s="115" customFormat="1" ht="14"/>
    <row r="778" s="115" customFormat="1" ht="14"/>
    <row r="779" s="115" customFormat="1" ht="14"/>
    <row r="780" s="115" customFormat="1" ht="14"/>
    <row r="781" s="115" customFormat="1" ht="14"/>
    <row r="782" s="115" customFormat="1" ht="14"/>
    <row r="783" s="115" customFormat="1" ht="14"/>
    <row r="784" s="115" customFormat="1" ht="14"/>
    <row r="785" s="115" customFormat="1" ht="14"/>
    <row r="786" s="115" customFormat="1" ht="14"/>
    <row r="787" s="115" customFormat="1" ht="14"/>
    <row r="788" s="115" customFormat="1" ht="14"/>
    <row r="789" s="115" customFormat="1" ht="14"/>
    <row r="790" s="115" customFormat="1" ht="14"/>
    <row r="791" s="115" customFormat="1" ht="14"/>
    <row r="792" s="115" customFormat="1" ht="14"/>
    <row r="793" s="115" customFormat="1" ht="14"/>
    <row r="794" s="115" customFormat="1" ht="14"/>
    <row r="795" s="115" customFormat="1" ht="14"/>
    <row r="796" s="115" customFormat="1" ht="14"/>
    <row r="797" s="115" customFormat="1" ht="14"/>
    <row r="798" s="115" customFormat="1" ht="14"/>
    <row r="799" s="115" customFormat="1" ht="14"/>
    <row r="800" s="115" customFormat="1" ht="14"/>
    <row r="801" s="115" customFormat="1" ht="14"/>
    <row r="802" s="115" customFormat="1" ht="14"/>
    <row r="803" s="115" customFormat="1" ht="14"/>
    <row r="804" s="115" customFormat="1" ht="14"/>
    <row r="805" s="115" customFormat="1" ht="14"/>
    <row r="806" s="115" customFormat="1" ht="14"/>
    <row r="807" s="115" customFormat="1" ht="14"/>
    <row r="808" s="115" customFormat="1" ht="14"/>
    <row r="809" s="115" customFormat="1" ht="14"/>
    <row r="810" s="115" customFormat="1" ht="14"/>
    <row r="811" s="115" customFormat="1" ht="14"/>
    <row r="812" s="115" customFormat="1" ht="14"/>
    <row r="813" s="115" customFormat="1" ht="14"/>
    <row r="814" s="115" customFormat="1" ht="14"/>
    <row r="815" s="115" customFormat="1" ht="14"/>
    <row r="816" s="115" customFormat="1" ht="14"/>
    <row r="817" s="115" customFormat="1" ht="14"/>
    <row r="818" s="115" customFormat="1" ht="14"/>
    <row r="819" s="115" customFormat="1" ht="14"/>
    <row r="820" s="115" customFormat="1" ht="14"/>
    <row r="821" s="115" customFormat="1" ht="14"/>
    <row r="822" s="115" customFormat="1" ht="14"/>
    <row r="823" s="115" customFormat="1" ht="14"/>
    <row r="824" s="115" customFormat="1" ht="14"/>
    <row r="825" s="115" customFormat="1" ht="14"/>
    <row r="826" s="115" customFormat="1" ht="14"/>
    <row r="827" s="115" customFormat="1" ht="14"/>
    <row r="828" s="115" customFormat="1" ht="14"/>
    <row r="829" s="115" customFormat="1" ht="14"/>
    <row r="830" s="115" customFormat="1" ht="14"/>
    <row r="831" s="115" customFormat="1" ht="14"/>
    <row r="832" s="115" customFormat="1" ht="14"/>
    <row r="833" s="115" customFormat="1" ht="14"/>
    <row r="834" s="115" customFormat="1" ht="14"/>
    <row r="835" s="115" customFormat="1" ht="14"/>
    <row r="836" s="115" customFormat="1" ht="14"/>
    <row r="837" s="115" customFormat="1" ht="14"/>
    <row r="838" s="115" customFormat="1" ht="14"/>
    <row r="839" s="115" customFormat="1" ht="14"/>
    <row r="840" s="115" customFormat="1" ht="14"/>
    <row r="841" s="115" customFormat="1" ht="14"/>
    <row r="842" s="115" customFormat="1" ht="14"/>
    <row r="843" s="115" customFormat="1" ht="14"/>
    <row r="844" s="115" customFormat="1" ht="14"/>
    <row r="845" s="115" customFormat="1" ht="14"/>
    <row r="846" s="115" customFormat="1" ht="14"/>
    <row r="847" s="115" customFormat="1" ht="14"/>
    <row r="848" s="115" customFormat="1" ht="14"/>
    <row r="849" s="115" customFormat="1" ht="14"/>
    <row r="850" s="115" customFormat="1" ht="14"/>
    <row r="851" s="115" customFormat="1" ht="14"/>
    <row r="852" s="115" customFormat="1" ht="14"/>
    <row r="853" s="115" customFormat="1" ht="14"/>
    <row r="854" s="115" customFormat="1" ht="14"/>
    <row r="855" s="115" customFormat="1" ht="14"/>
    <row r="856" s="115" customFormat="1" ht="14"/>
    <row r="857" s="115" customFormat="1" ht="14"/>
    <row r="858" s="115" customFormat="1" ht="14"/>
    <row r="859" s="115" customFormat="1" ht="14"/>
    <row r="860" s="115" customFormat="1" ht="14"/>
    <row r="861" s="115" customFormat="1" ht="14"/>
    <row r="862" s="115" customFormat="1" ht="14"/>
    <row r="863" s="115" customFormat="1" ht="14"/>
    <row r="864" s="115" customFormat="1" ht="14"/>
    <row r="865" s="115" customFormat="1" ht="14"/>
    <row r="866" s="115" customFormat="1" ht="14"/>
    <row r="867" s="115" customFormat="1" ht="14"/>
    <row r="868" s="115" customFormat="1" ht="14"/>
    <row r="869" s="115" customFormat="1" ht="14"/>
    <row r="870" s="115" customFormat="1" ht="14"/>
    <row r="871" s="115" customFormat="1" ht="14"/>
    <row r="872" s="115" customFormat="1" ht="14"/>
    <row r="873" s="115" customFormat="1" ht="14"/>
    <row r="874" s="115" customFormat="1" ht="14"/>
    <row r="875" s="115" customFormat="1" ht="14"/>
    <row r="876" s="115" customFormat="1" ht="14"/>
    <row r="877" s="115" customFormat="1" ht="14"/>
    <row r="878" s="115" customFormat="1" ht="14"/>
    <row r="879" s="115" customFormat="1" ht="14"/>
    <row r="880" s="115" customFormat="1" ht="14"/>
    <row r="881" s="115" customFormat="1" ht="14"/>
    <row r="882" s="115" customFormat="1" ht="14"/>
    <row r="883" s="115" customFormat="1" ht="14"/>
    <row r="884" s="115" customFormat="1" ht="14"/>
    <row r="885" s="115" customFormat="1" ht="14"/>
    <row r="886" s="115" customFormat="1" ht="14"/>
    <row r="887" s="115" customFormat="1" ht="14"/>
    <row r="888" s="115" customFormat="1" ht="14"/>
    <row r="889" s="115" customFormat="1" ht="14"/>
    <row r="890" s="115" customFormat="1" ht="14"/>
    <row r="891" s="115" customFormat="1" ht="14"/>
    <row r="892" s="115" customFormat="1" ht="14"/>
    <row r="893" s="115" customFormat="1" ht="14"/>
    <row r="894" s="115" customFormat="1" ht="14"/>
    <row r="895" s="115" customFormat="1" ht="14"/>
    <row r="896" s="115" customFormat="1" ht="14"/>
    <row r="897" s="115" customFormat="1" ht="14"/>
    <row r="898" s="115" customFormat="1" ht="14"/>
    <row r="899" s="115" customFormat="1" ht="14"/>
    <row r="900" s="115" customFormat="1" ht="14"/>
    <row r="901" s="115" customFormat="1" ht="14"/>
    <row r="902" s="115" customFormat="1" ht="14"/>
    <row r="903" s="115" customFormat="1" ht="14"/>
    <row r="904" s="115" customFormat="1" ht="14"/>
    <row r="905" s="115" customFormat="1" ht="14"/>
    <row r="906" s="115" customFormat="1" ht="14"/>
    <row r="907" s="115" customFormat="1" ht="14"/>
    <row r="908" s="115" customFormat="1" ht="14"/>
    <row r="909" s="115" customFormat="1" ht="14"/>
    <row r="910" s="115" customFormat="1" ht="14"/>
    <row r="911" s="115" customFormat="1" ht="14"/>
    <row r="912" s="115" customFormat="1" ht="14"/>
    <row r="913" s="115" customFormat="1" ht="14"/>
    <row r="914" s="115" customFormat="1" ht="14"/>
    <row r="915" s="115" customFormat="1" ht="14"/>
    <row r="916" s="115" customFormat="1" ht="14"/>
    <row r="917" s="115" customFormat="1" ht="14"/>
    <row r="918" s="115" customFormat="1" ht="14"/>
    <row r="919" s="115" customFormat="1" ht="14"/>
    <row r="920" s="115" customFormat="1" ht="14"/>
    <row r="921" s="115" customFormat="1" ht="14"/>
    <row r="922" s="115" customFormat="1" ht="14"/>
    <row r="923" s="115" customFormat="1" ht="14"/>
    <row r="924" s="115" customFormat="1" ht="14"/>
    <row r="925" s="115" customFormat="1" ht="14"/>
    <row r="926" s="115" customFormat="1" ht="14"/>
    <row r="927" s="115" customFormat="1" ht="14"/>
    <row r="928" s="115" customFormat="1" ht="14"/>
    <row r="929" s="115" customFormat="1" ht="14"/>
    <row r="930" s="115" customFormat="1" ht="14"/>
    <row r="931" s="115" customFormat="1" ht="14"/>
    <row r="932" s="115" customFormat="1" ht="14"/>
    <row r="933" s="115" customFormat="1" ht="14"/>
    <row r="934" s="115" customFormat="1" ht="14"/>
    <row r="935" s="115" customFormat="1" ht="14"/>
    <row r="936" s="115" customFormat="1" ht="14"/>
    <row r="937" s="115" customFormat="1" ht="14"/>
    <row r="938" s="115" customFormat="1" ht="14"/>
    <row r="939" s="115" customFormat="1" ht="14"/>
    <row r="940" s="115" customFormat="1" ht="14"/>
    <row r="941" s="115" customFormat="1" ht="14"/>
    <row r="942" s="115" customFormat="1" ht="14"/>
    <row r="943" s="115" customFormat="1" ht="14"/>
    <row r="944" s="115" customFormat="1" ht="14"/>
    <row r="945" s="115" customFormat="1" ht="14"/>
    <row r="946" s="115" customFormat="1" ht="14"/>
    <row r="947" s="115" customFormat="1" ht="14"/>
    <row r="948" s="115" customFormat="1" ht="14"/>
    <row r="949" s="115" customFormat="1" ht="14"/>
    <row r="950" s="115" customFormat="1" ht="14"/>
    <row r="951" s="115" customFormat="1" ht="14"/>
    <row r="952" s="115" customFormat="1" ht="14"/>
    <row r="953" s="115" customFormat="1" ht="14"/>
    <row r="954" s="115" customFormat="1" ht="14"/>
    <row r="955" s="115" customFormat="1" ht="14"/>
    <row r="956" s="115" customFormat="1" ht="14"/>
    <row r="957" s="115" customFormat="1" ht="14"/>
    <row r="958" s="115" customFormat="1" ht="14"/>
    <row r="959" s="115" customFormat="1" ht="14"/>
    <row r="960" s="115" customFormat="1" ht="14"/>
    <row r="961" s="115" customFormat="1" ht="14"/>
    <row r="962" s="115" customFormat="1" ht="14"/>
    <row r="963" s="115" customFormat="1" ht="14"/>
    <row r="964" s="115" customFormat="1" ht="14"/>
    <row r="965" s="115" customFormat="1" ht="14"/>
    <row r="966" s="115" customFormat="1" ht="14"/>
    <row r="967" s="115" customFormat="1" ht="14"/>
    <row r="968" s="115" customFormat="1" ht="14"/>
    <row r="969" s="115" customFormat="1" ht="14"/>
    <row r="970" s="115" customFormat="1" ht="14"/>
    <row r="971" s="115" customFormat="1" ht="14"/>
    <row r="972" s="115" customFormat="1" ht="14"/>
    <row r="973" s="115" customFormat="1" ht="14"/>
    <row r="974" s="115" customFormat="1" ht="14"/>
    <row r="975" s="115" customFormat="1" ht="14"/>
    <row r="976" s="115" customFormat="1" ht="14"/>
    <row r="977" s="115" customFormat="1" ht="14"/>
    <row r="978" s="115" customFormat="1" ht="14"/>
    <row r="979" s="115" customFormat="1" ht="14"/>
    <row r="980" s="115" customFormat="1" ht="14"/>
    <row r="981" s="115" customFormat="1" ht="14"/>
    <row r="982" s="115" customFormat="1" ht="14"/>
    <row r="983" s="115" customFormat="1" ht="14"/>
    <row r="984" s="115" customFormat="1" ht="14"/>
    <row r="985" s="115" customFormat="1" ht="14"/>
    <row r="986" s="115" customFormat="1" ht="14"/>
    <row r="987" s="115" customFormat="1" ht="14"/>
    <row r="988" s="115" customFormat="1" ht="14"/>
    <row r="989" s="115" customFormat="1" ht="14"/>
    <row r="990" s="115" customFormat="1" ht="14"/>
    <row r="991" s="115" customFormat="1" ht="14"/>
    <row r="992" s="115" customFormat="1" ht="14"/>
    <row r="993" s="115" customFormat="1" ht="14"/>
    <row r="994" s="115" customFormat="1" ht="14"/>
    <row r="995" s="115" customFormat="1" ht="14"/>
    <row r="996" s="115" customFormat="1" ht="14"/>
    <row r="997" s="115" customFormat="1" ht="14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70D1F-A389-4D2D-A9CB-ED6FA079D2D8}">
  <sheetPr>
    <tabColor theme="9"/>
  </sheetPr>
  <dimension ref="A1:AI997"/>
  <sheetViews>
    <sheetView showGridLines="0" workbookViewId="0">
      <pane xSplit="2" topLeftCell="C1" activePane="topRight" state="frozen"/>
      <selection pane="topRight"/>
    </sheetView>
  </sheetViews>
  <sheetFormatPr baseColWidth="10" defaultColWidth="12.5" defaultRowHeight="15.75" customHeight="1"/>
  <cols>
    <col min="1" max="1" width="28.1640625" style="115" customWidth="1"/>
    <col min="2" max="2" width="11.83203125" style="115" customWidth="1"/>
    <col min="3" max="3" width="19" style="115" customWidth="1"/>
    <col min="4" max="4" width="10.5" style="115" customWidth="1"/>
    <col min="5" max="5" width="8.5" style="115" customWidth="1"/>
    <col min="6" max="6" width="7.5" style="115" customWidth="1"/>
    <col min="7" max="7" width="9.5" style="115" customWidth="1"/>
    <col min="8" max="8" width="9" style="115" customWidth="1"/>
    <col min="9" max="9" width="6.83203125" style="115" customWidth="1"/>
    <col min="10" max="10" width="7.5" style="115" customWidth="1"/>
    <col min="11" max="11" width="7.33203125" style="115" customWidth="1"/>
    <col min="12" max="12" width="7.83203125" style="115" customWidth="1"/>
    <col min="13" max="13" width="7.6640625" style="115" customWidth="1"/>
    <col min="14" max="15" width="7.1640625" style="115" customWidth="1"/>
    <col min="16" max="16" width="7.33203125" style="115" customWidth="1"/>
    <col min="17" max="18" width="6.5" style="115" customWidth="1"/>
    <col min="19" max="19" width="7.33203125" style="115" customWidth="1"/>
    <col min="20" max="20" width="7.5" style="115" customWidth="1"/>
    <col min="21" max="21" width="6.6640625" style="115" customWidth="1"/>
    <col min="22" max="22" width="7.1640625" style="115" customWidth="1"/>
    <col min="23" max="23" width="7.5" style="115" customWidth="1"/>
    <col min="24" max="24" width="9.33203125" style="115" customWidth="1"/>
    <col min="25" max="25" width="9.5" style="115" customWidth="1"/>
    <col min="26" max="26" width="9.33203125" style="115" customWidth="1"/>
    <col min="27" max="27" width="8.6640625" style="115" customWidth="1"/>
    <col min="28" max="28" width="15.33203125" style="115" customWidth="1"/>
    <col min="29" max="29" width="14" style="115" customWidth="1"/>
    <col min="30" max="30" width="7.5" style="115" customWidth="1"/>
    <col min="31" max="31" width="17.6640625" style="115" customWidth="1"/>
    <col min="32" max="35" width="7.5" style="115" customWidth="1"/>
    <col min="36" max="16384" width="12.5" style="115"/>
  </cols>
  <sheetData>
    <row r="1" spans="1:35" ht="15.75" customHeight="1">
      <c r="A1" s="107"/>
      <c r="B1" s="108"/>
      <c r="C1" s="109">
        <v>45962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54" t="s">
        <v>1</v>
      </c>
      <c r="B3" s="254" t="s">
        <v>2</v>
      </c>
      <c r="C3" s="254" t="s">
        <v>3</v>
      </c>
      <c r="D3" s="254" t="s">
        <v>4</v>
      </c>
      <c r="E3" s="259" t="s">
        <v>5</v>
      </c>
      <c r="F3" s="255"/>
      <c r="G3" s="255"/>
      <c r="H3" s="255"/>
      <c r="I3" s="141">
        <f>C1</f>
        <v>45962</v>
      </c>
      <c r="J3" s="141">
        <f t="shared" ref="J3:W3" si="0">I3+1</f>
        <v>45963</v>
      </c>
      <c r="K3" s="141">
        <f t="shared" si="0"/>
        <v>45964</v>
      </c>
      <c r="L3" s="141">
        <f t="shared" si="0"/>
        <v>45965</v>
      </c>
      <c r="M3" s="141">
        <f t="shared" si="0"/>
        <v>45966</v>
      </c>
      <c r="N3" s="141">
        <f t="shared" si="0"/>
        <v>45967</v>
      </c>
      <c r="O3" s="141">
        <f t="shared" si="0"/>
        <v>45968</v>
      </c>
      <c r="P3" s="141">
        <f t="shared" si="0"/>
        <v>45969</v>
      </c>
      <c r="Q3" s="141">
        <f t="shared" si="0"/>
        <v>45970</v>
      </c>
      <c r="R3" s="141">
        <f t="shared" si="0"/>
        <v>45971</v>
      </c>
      <c r="S3" s="141">
        <f t="shared" si="0"/>
        <v>45972</v>
      </c>
      <c r="T3" s="141">
        <f t="shared" si="0"/>
        <v>45973</v>
      </c>
      <c r="U3" s="141">
        <f t="shared" si="0"/>
        <v>45974</v>
      </c>
      <c r="V3" s="141">
        <f t="shared" si="0"/>
        <v>45975</v>
      </c>
      <c r="W3" s="141">
        <f t="shared" si="0"/>
        <v>45976</v>
      </c>
      <c r="X3" s="254" t="s">
        <v>6</v>
      </c>
      <c r="Y3" s="254" t="s">
        <v>7</v>
      </c>
      <c r="Z3" s="209"/>
      <c r="AA3" s="114"/>
      <c r="AB3" s="114"/>
    </row>
    <row r="4" spans="1:35" ht="27" customHeight="1">
      <c r="A4" s="255"/>
      <c r="B4" s="255"/>
      <c r="C4" s="255"/>
      <c r="D4" s="255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Sat</v>
      </c>
      <c r="J4" s="127" t="str">
        <f t="shared" si="1"/>
        <v>Sun</v>
      </c>
      <c r="K4" s="127" t="str">
        <f t="shared" si="1"/>
        <v>Mon</v>
      </c>
      <c r="L4" s="222" t="str">
        <f t="shared" si="1"/>
        <v>Tue</v>
      </c>
      <c r="M4" s="222" t="str">
        <f t="shared" si="1"/>
        <v>Wed</v>
      </c>
      <c r="N4" s="221" t="str">
        <f t="shared" si="1"/>
        <v>Thu</v>
      </c>
      <c r="O4" s="221" t="str">
        <f t="shared" si="1"/>
        <v>Fri</v>
      </c>
      <c r="P4" s="222" t="str">
        <f t="shared" si="1"/>
        <v>Sat</v>
      </c>
      <c r="Q4" s="222" t="str">
        <f t="shared" si="1"/>
        <v>Sun</v>
      </c>
      <c r="R4" s="222" t="str">
        <f t="shared" si="1"/>
        <v>Mon</v>
      </c>
      <c r="S4" s="222" t="str">
        <f t="shared" si="1"/>
        <v>Tue</v>
      </c>
      <c r="T4" s="222" t="str">
        <f t="shared" si="1"/>
        <v>Wed</v>
      </c>
      <c r="U4" s="222" t="str">
        <f t="shared" si="1"/>
        <v>Thu</v>
      </c>
      <c r="V4" s="222" t="str">
        <f t="shared" si="1"/>
        <v>Fri</v>
      </c>
      <c r="W4" s="222" t="str">
        <f t="shared" si="1"/>
        <v>Sat</v>
      </c>
      <c r="X4" s="255"/>
      <c r="Y4" s="255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 t="shared" ref="G5:G10" si="5">SUM(I5:W5)</f>
        <v>80</v>
      </c>
      <c r="H5" s="135">
        <v>0</v>
      </c>
      <c r="I5" s="200"/>
      <c r="J5" s="200"/>
      <c r="K5" s="183">
        <v>8</v>
      </c>
      <c r="L5" s="183">
        <v>8</v>
      </c>
      <c r="M5" s="183">
        <v>8</v>
      </c>
      <c r="N5" s="183">
        <v>8</v>
      </c>
      <c r="O5" s="183">
        <v>8</v>
      </c>
      <c r="P5" s="200"/>
      <c r="Q5" s="200"/>
      <c r="R5" s="183">
        <v>8</v>
      </c>
      <c r="S5" s="183">
        <v>8</v>
      </c>
      <c r="T5" s="183">
        <v>8</v>
      </c>
      <c r="U5" s="183">
        <v>8</v>
      </c>
      <c r="V5" s="183">
        <v>8</v>
      </c>
      <c r="W5" s="200"/>
      <c r="X5" s="134">
        <f>Y5-COUNTA(I5:W5)</f>
        <v>0</v>
      </c>
      <c r="Y5" s="136">
        <v>10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72</v>
      </c>
      <c r="G6" s="134">
        <f t="shared" si="5"/>
        <v>72</v>
      </c>
      <c r="H6" s="135">
        <v>0</v>
      </c>
      <c r="I6" s="200"/>
      <c r="J6" s="200"/>
      <c r="K6" s="236"/>
      <c r="L6" s="183">
        <v>8</v>
      </c>
      <c r="M6" s="183">
        <v>8</v>
      </c>
      <c r="N6" s="183">
        <v>8</v>
      </c>
      <c r="O6" s="183">
        <v>8</v>
      </c>
      <c r="P6" s="200"/>
      <c r="Q6" s="200"/>
      <c r="R6" s="183">
        <v>8</v>
      </c>
      <c r="S6" s="183">
        <v>8</v>
      </c>
      <c r="T6" s="183">
        <v>8</v>
      </c>
      <c r="U6" s="183">
        <v>8</v>
      </c>
      <c r="V6" s="183">
        <v>8</v>
      </c>
      <c r="W6" s="200"/>
      <c r="X6" s="134">
        <f t="shared" ref="X6:X14" si="6">Y6-COUNTA(I6:W6)</f>
        <v>1</v>
      </c>
      <c r="Y6" s="136">
        <v>10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200"/>
      <c r="J7" s="200"/>
      <c r="K7" s="183">
        <v>8</v>
      </c>
      <c r="L7" s="183">
        <v>8</v>
      </c>
      <c r="M7" s="183">
        <v>8</v>
      </c>
      <c r="N7" s="183">
        <v>8</v>
      </c>
      <c r="O7" s="183">
        <v>8</v>
      </c>
      <c r="P7" s="200"/>
      <c r="Q7" s="200"/>
      <c r="R7" s="236"/>
      <c r="S7" s="183">
        <v>8</v>
      </c>
      <c r="T7" s="183">
        <v>8</v>
      </c>
      <c r="U7" s="183">
        <v>8</v>
      </c>
      <c r="V7" s="183">
        <v>8</v>
      </c>
      <c r="W7" s="200"/>
      <c r="X7" s="134">
        <f t="shared" si="6"/>
        <v>1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72</v>
      </c>
      <c r="G8" s="134">
        <f t="shared" si="5"/>
        <v>72</v>
      </c>
      <c r="H8" s="135">
        <v>0</v>
      </c>
      <c r="I8" s="200"/>
      <c r="J8" s="200"/>
      <c r="K8" s="183">
        <v>8</v>
      </c>
      <c r="L8" s="183">
        <v>8</v>
      </c>
      <c r="M8" s="183">
        <v>8</v>
      </c>
      <c r="N8" s="183">
        <v>8</v>
      </c>
      <c r="O8" s="183">
        <v>8</v>
      </c>
      <c r="P8" s="200"/>
      <c r="Q8" s="200"/>
      <c r="R8" s="183">
        <v>8</v>
      </c>
      <c r="S8" s="183">
        <v>8</v>
      </c>
      <c r="T8" s="183">
        <v>8</v>
      </c>
      <c r="U8" s="183">
        <v>8</v>
      </c>
      <c r="V8" s="236"/>
      <c r="W8" s="200"/>
      <c r="X8" s="134">
        <f t="shared" si="6"/>
        <v>1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80</v>
      </c>
      <c r="G9" s="134">
        <f t="shared" si="5"/>
        <v>80</v>
      </c>
      <c r="H9" s="135">
        <v>0</v>
      </c>
      <c r="I9" s="200"/>
      <c r="J9" s="200"/>
      <c r="K9" s="183">
        <v>8</v>
      </c>
      <c r="L9" s="183">
        <v>8</v>
      </c>
      <c r="M9" s="183">
        <v>8</v>
      </c>
      <c r="N9" s="183">
        <v>8</v>
      </c>
      <c r="O9" s="183">
        <v>8</v>
      </c>
      <c r="P9" s="200"/>
      <c r="Q9" s="200"/>
      <c r="R9" s="183">
        <v>8</v>
      </c>
      <c r="S9" s="183">
        <v>8</v>
      </c>
      <c r="T9" s="183">
        <v>8</v>
      </c>
      <c r="U9" s="183">
        <v>8</v>
      </c>
      <c r="V9" s="183">
        <v>8</v>
      </c>
      <c r="W9" s="200"/>
      <c r="X9" s="134">
        <f t="shared" si="6"/>
        <v>0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72</v>
      </c>
      <c r="G10" s="134">
        <f t="shared" si="5"/>
        <v>72</v>
      </c>
      <c r="H10" s="135">
        <v>0</v>
      </c>
      <c r="I10" s="200"/>
      <c r="J10" s="200"/>
      <c r="K10" s="183">
        <v>8</v>
      </c>
      <c r="L10" s="183">
        <v>8</v>
      </c>
      <c r="M10" s="183">
        <v>8</v>
      </c>
      <c r="N10" s="183">
        <v>8</v>
      </c>
      <c r="O10" s="183">
        <v>8</v>
      </c>
      <c r="P10" s="200"/>
      <c r="Q10" s="200"/>
      <c r="R10" s="183">
        <v>8</v>
      </c>
      <c r="S10" s="183">
        <v>8</v>
      </c>
      <c r="T10" s="183">
        <v>8</v>
      </c>
      <c r="U10" s="183">
        <v>8</v>
      </c>
      <c r="V10" s="236"/>
      <c r="W10" s="200"/>
      <c r="X10" s="134">
        <f t="shared" si="6"/>
        <v>1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448</v>
      </c>
      <c r="G15" s="224">
        <f t="shared" si="8"/>
        <v>448</v>
      </c>
      <c r="H15" s="224">
        <f t="shared" si="8"/>
        <v>0</v>
      </c>
      <c r="I15" s="224">
        <f t="shared" si="8"/>
        <v>0</v>
      </c>
      <c r="J15" s="224">
        <f t="shared" si="8"/>
        <v>0</v>
      </c>
      <c r="K15" s="224">
        <f t="shared" si="8"/>
        <v>40</v>
      </c>
      <c r="L15" s="224">
        <f t="shared" si="8"/>
        <v>48</v>
      </c>
      <c r="M15" s="224">
        <f t="shared" si="8"/>
        <v>48</v>
      </c>
      <c r="N15" s="224">
        <f t="shared" si="8"/>
        <v>48</v>
      </c>
      <c r="O15" s="224">
        <f t="shared" si="8"/>
        <v>48</v>
      </c>
      <c r="P15" s="224">
        <f t="shared" si="8"/>
        <v>0</v>
      </c>
      <c r="Q15" s="224">
        <f t="shared" si="8"/>
        <v>0</v>
      </c>
      <c r="R15" s="224">
        <f t="shared" si="8"/>
        <v>40</v>
      </c>
      <c r="S15" s="224">
        <f t="shared" si="8"/>
        <v>48</v>
      </c>
      <c r="T15" s="224">
        <f t="shared" si="8"/>
        <v>48</v>
      </c>
      <c r="U15" s="224">
        <f t="shared" si="8"/>
        <v>48</v>
      </c>
      <c r="V15" s="224">
        <f t="shared" si="8"/>
        <v>32</v>
      </c>
      <c r="W15" s="224">
        <f t="shared" si="8"/>
        <v>0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54" t="s">
        <v>1</v>
      </c>
      <c r="B18" s="254" t="s">
        <v>2</v>
      </c>
      <c r="C18" s="254" t="s">
        <v>3</v>
      </c>
      <c r="D18" s="254" t="s">
        <v>4</v>
      </c>
      <c r="E18" s="259" t="s">
        <v>5</v>
      </c>
      <c r="F18" s="255"/>
      <c r="G18" s="255"/>
      <c r="H18" s="255"/>
      <c r="I18" s="141">
        <f>W3+1</f>
        <v>45977</v>
      </c>
      <c r="J18" s="141">
        <f t="shared" ref="J18:W18" si="9">I18+1</f>
        <v>45978</v>
      </c>
      <c r="K18" s="141">
        <f t="shared" si="9"/>
        <v>45979</v>
      </c>
      <c r="L18" s="141">
        <f t="shared" si="9"/>
        <v>45980</v>
      </c>
      <c r="M18" s="141">
        <f t="shared" si="9"/>
        <v>45981</v>
      </c>
      <c r="N18" s="141">
        <f t="shared" si="9"/>
        <v>45982</v>
      </c>
      <c r="O18" s="141">
        <f t="shared" si="9"/>
        <v>45983</v>
      </c>
      <c r="P18" s="141">
        <f t="shared" si="9"/>
        <v>45984</v>
      </c>
      <c r="Q18" s="141">
        <f t="shared" si="9"/>
        <v>45985</v>
      </c>
      <c r="R18" s="141">
        <f t="shared" si="9"/>
        <v>45986</v>
      </c>
      <c r="S18" s="141">
        <f t="shared" si="9"/>
        <v>45987</v>
      </c>
      <c r="T18" s="141">
        <f t="shared" si="9"/>
        <v>45988</v>
      </c>
      <c r="U18" s="141">
        <f t="shared" si="9"/>
        <v>45989</v>
      </c>
      <c r="V18" s="141">
        <f t="shared" si="9"/>
        <v>45990</v>
      </c>
      <c r="W18" s="141">
        <f t="shared" si="9"/>
        <v>45991</v>
      </c>
      <c r="X18" s="141"/>
      <c r="Y18" s="254" t="s">
        <v>6</v>
      </c>
      <c r="Z18" s="254" t="s">
        <v>7</v>
      </c>
      <c r="AA18" s="209"/>
      <c r="AB18" s="114"/>
    </row>
    <row r="19" spans="1:29" ht="26.25" customHeight="1">
      <c r="A19" s="255"/>
      <c r="B19" s="255"/>
      <c r="C19" s="255"/>
      <c r="D19" s="255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W19" si="10">IF(I18="","",TEXT(WEEKDAY(I18), "ddd"))</f>
        <v>Sun</v>
      </c>
      <c r="J19" s="222" t="str">
        <f t="shared" si="10"/>
        <v>Mon</v>
      </c>
      <c r="K19" s="222" t="str">
        <f t="shared" si="10"/>
        <v>Tue</v>
      </c>
      <c r="L19" s="222" t="str">
        <f t="shared" si="10"/>
        <v>Wed</v>
      </c>
      <c r="M19" s="222" t="str">
        <f t="shared" si="10"/>
        <v>Thu</v>
      </c>
      <c r="N19" s="222" t="str">
        <f t="shared" si="10"/>
        <v>Fri</v>
      </c>
      <c r="O19" s="222" t="str">
        <f t="shared" si="10"/>
        <v>Sat</v>
      </c>
      <c r="P19" s="127" t="str">
        <f t="shared" si="10"/>
        <v>Sun</v>
      </c>
      <c r="Q19" s="127" t="str">
        <f t="shared" si="10"/>
        <v>Mon</v>
      </c>
      <c r="R19" s="222" t="str">
        <f t="shared" si="10"/>
        <v>Tue</v>
      </c>
      <c r="S19" s="222" t="str">
        <f t="shared" si="10"/>
        <v>Wed</v>
      </c>
      <c r="T19" s="222" t="str">
        <f t="shared" si="10"/>
        <v>Thu</v>
      </c>
      <c r="U19" s="222" t="str">
        <f t="shared" si="10"/>
        <v>Fri</v>
      </c>
      <c r="V19" s="222" t="str">
        <f t="shared" si="10"/>
        <v>Sat</v>
      </c>
      <c r="W19" s="127" t="str">
        <f t="shared" si="10"/>
        <v>Sun</v>
      </c>
      <c r="X19" s="127"/>
      <c r="Y19" s="255"/>
      <c r="Z19" s="255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80</v>
      </c>
      <c r="E20" s="134">
        <f t="shared" ref="E20:E25" si="12">Z20*8</f>
        <v>80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99"/>
      <c r="J20" s="180">
        <v>8</v>
      </c>
      <c r="K20" s="180">
        <v>8</v>
      </c>
      <c r="L20" s="180">
        <v>8</v>
      </c>
      <c r="M20" s="180">
        <v>8</v>
      </c>
      <c r="N20" s="180">
        <v>8</v>
      </c>
      <c r="O20" s="199"/>
      <c r="P20" s="199"/>
      <c r="Q20" s="183">
        <v>8</v>
      </c>
      <c r="R20" s="180">
        <v>8</v>
      </c>
      <c r="S20" s="180">
        <v>8</v>
      </c>
      <c r="T20" s="180">
        <v>8</v>
      </c>
      <c r="U20" s="180">
        <v>8</v>
      </c>
      <c r="V20" s="200"/>
      <c r="W20" s="200"/>
      <c r="X20" s="180"/>
      <c r="Y20" s="134">
        <f t="shared" ref="Y20:Y25" si="15">Z20-COUNTA(I20:X20)</f>
        <v>0</v>
      </c>
      <c r="Z20" s="136">
        <v>10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80</v>
      </c>
      <c r="E21" s="134">
        <f t="shared" si="12"/>
        <v>80</v>
      </c>
      <c r="F21" s="134">
        <f t="shared" si="13"/>
        <v>80</v>
      </c>
      <c r="G21" s="134">
        <f t="shared" si="14"/>
        <v>80</v>
      </c>
      <c r="H21" s="135">
        <v>0</v>
      </c>
      <c r="I21" s="199"/>
      <c r="J21" s="180">
        <v>8</v>
      </c>
      <c r="K21" s="180">
        <v>8</v>
      </c>
      <c r="L21" s="180">
        <v>8</v>
      </c>
      <c r="M21" s="180">
        <v>8</v>
      </c>
      <c r="N21" s="180">
        <v>8</v>
      </c>
      <c r="O21" s="200"/>
      <c r="P21" s="199"/>
      <c r="Q21" s="180">
        <v>8</v>
      </c>
      <c r="R21" s="183">
        <v>8</v>
      </c>
      <c r="S21" s="180">
        <v>8</v>
      </c>
      <c r="T21" s="180">
        <v>8</v>
      </c>
      <c r="U21" s="180">
        <v>8</v>
      </c>
      <c r="V21" s="200"/>
      <c r="W21" s="199"/>
      <c r="X21" s="180"/>
      <c r="Y21" s="134">
        <f t="shared" si="15"/>
        <v>0</v>
      </c>
      <c r="Z21" s="136">
        <v>10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80</v>
      </c>
      <c r="E22" s="134">
        <f t="shared" si="12"/>
        <v>80</v>
      </c>
      <c r="F22" s="134">
        <f t="shared" si="13"/>
        <v>80</v>
      </c>
      <c r="G22" s="134">
        <f t="shared" si="14"/>
        <v>80</v>
      </c>
      <c r="H22" s="135">
        <v>0</v>
      </c>
      <c r="I22" s="199"/>
      <c r="J22" s="180">
        <v>8</v>
      </c>
      <c r="K22" s="180">
        <v>8</v>
      </c>
      <c r="L22" s="180">
        <v>8</v>
      </c>
      <c r="M22" s="180">
        <v>8</v>
      </c>
      <c r="N22" s="180">
        <v>8</v>
      </c>
      <c r="O22" s="199"/>
      <c r="P22" s="199"/>
      <c r="Q22" s="180">
        <v>8</v>
      </c>
      <c r="R22" s="180">
        <v>8</v>
      </c>
      <c r="S22" s="180">
        <v>8</v>
      </c>
      <c r="T22" s="180">
        <v>8</v>
      </c>
      <c r="U22" s="180">
        <v>8</v>
      </c>
      <c r="V22" s="199"/>
      <c r="W22" s="199"/>
      <c r="X22" s="180"/>
      <c r="Y22" s="134">
        <f t="shared" si="15"/>
        <v>0</v>
      </c>
      <c r="Z22" s="136">
        <v>10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80</v>
      </c>
      <c r="E23" s="134">
        <f t="shared" si="12"/>
        <v>80</v>
      </c>
      <c r="F23" s="134">
        <f t="shared" si="13"/>
        <v>80</v>
      </c>
      <c r="G23" s="134">
        <f t="shared" si="14"/>
        <v>80</v>
      </c>
      <c r="H23" s="135">
        <v>0</v>
      </c>
      <c r="I23" s="199"/>
      <c r="J23" s="180">
        <v>8</v>
      </c>
      <c r="K23" s="180">
        <v>8</v>
      </c>
      <c r="L23" s="180">
        <v>8</v>
      </c>
      <c r="M23" s="180">
        <v>8</v>
      </c>
      <c r="N23" s="180">
        <v>8</v>
      </c>
      <c r="O23" s="200"/>
      <c r="P23" s="199"/>
      <c r="Q23" s="180">
        <v>8</v>
      </c>
      <c r="R23" s="183">
        <v>8</v>
      </c>
      <c r="S23" s="180">
        <v>8</v>
      </c>
      <c r="T23" s="180">
        <v>8</v>
      </c>
      <c r="U23" s="180">
        <v>8</v>
      </c>
      <c r="V23" s="200"/>
      <c r="W23" s="199"/>
      <c r="X23" s="180"/>
      <c r="Y23" s="134">
        <f t="shared" si="15"/>
        <v>0</v>
      </c>
      <c r="Z23" s="136">
        <v>10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80</v>
      </c>
      <c r="E24" s="134">
        <f t="shared" si="12"/>
        <v>80</v>
      </c>
      <c r="F24" s="134">
        <f t="shared" si="13"/>
        <v>80</v>
      </c>
      <c r="G24" s="134">
        <f t="shared" si="14"/>
        <v>80</v>
      </c>
      <c r="H24" s="135">
        <v>0</v>
      </c>
      <c r="I24" s="199"/>
      <c r="J24" s="180">
        <v>8</v>
      </c>
      <c r="K24" s="180">
        <v>8</v>
      </c>
      <c r="L24" s="180">
        <v>8</v>
      </c>
      <c r="M24" s="180">
        <v>8</v>
      </c>
      <c r="N24" s="180">
        <v>8</v>
      </c>
      <c r="O24" s="199"/>
      <c r="P24" s="199"/>
      <c r="Q24" s="180">
        <v>8</v>
      </c>
      <c r="R24" s="180">
        <v>8</v>
      </c>
      <c r="S24" s="180">
        <v>8</v>
      </c>
      <c r="T24" s="180">
        <v>8</v>
      </c>
      <c r="U24" s="180">
        <v>8</v>
      </c>
      <c r="V24" s="199"/>
      <c r="W24" s="199"/>
      <c r="X24" s="180"/>
      <c r="Y24" s="134">
        <f t="shared" si="15"/>
        <v>0</v>
      </c>
      <c r="Z24" s="136">
        <v>10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80</v>
      </c>
      <c r="E25" s="134">
        <f t="shared" si="12"/>
        <v>80</v>
      </c>
      <c r="F25" s="134">
        <f t="shared" si="13"/>
        <v>64</v>
      </c>
      <c r="G25" s="134">
        <f t="shared" si="14"/>
        <v>64</v>
      </c>
      <c r="H25" s="135">
        <v>0</v>
      </c>
      <c r="I25" s="200"/>
      <c r="J25" s="183">
        <v>8</v>
      </c>
      <c r="K25" s="183">
        <v>8</v>
      </c>
      <c r="L25" s="183">
        <v>8</v>
      </c>
      <c r="M25" s="183">
        <v>8</v>
      </c>
      <c r="N25" s="236"/>
      <c r="O25" s="200"/>
      <c r="P25" s="200"/>
      <c r="Q25" s="236"/>
      <c r="R25" s="183">
        <v>8</v>
      </c>
      <c r="S25" s="183">
        <v>8</v>
      </c>
      <c r="T25" s="183">
        <v>8</v>
      </c>
      <c r="U25" s="183">
        <v>8</v>
      </c>
      <c r="V25" s="200"/>
      <c r="W25" s="200"/>
      <c r="X25" s="180"/>
      <c r="Y25" s="134">
        <f t="shared" si="15"/>
        <v>2</v>
      </c>
      <c r="Z25" s="136">
        <v>10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480</v>
      </c>
      <c r="E30" s="224">
        <f t="shared" si="16"/>
        <v>480</v>
      </c>
      <c r="F30" s="224">
        <f t="shared" si="16"/>
        <v>464</v>
      </c>
      <c r="G30" s="224">
        <f t="shared" si="16"/>
        <v>464</v>
      </c>
      <c r="H30" s="224">
        <f t="shared" si="16"/>
        <v>0</v>
      </c>
      <c r="I30" s="224">
        <f t="shared" si="16"/>
        <v>0</v>
      </c>
      <c r="J30" s="224">
        <f t="shared" si="16"/>
        <v>48</v>
      </c>
      <c r="K30" s="224">
        <f t="shared" si="16"/>
        <v>48</v>
      </c>
      <c r="L30" s="224">
        <f t="shared" si="16"/>
        <v>48</v>
      </c>
      <c r="M30" s="224">
        <f t="shared" si="16"/>
        <v>48</v>
      </c>
      <c r="N30" s="224">
        <f t="shared" si="16"/>
        <v>40</v>
      </c>
      <c r="O30" s="224">
        <f t="shared" si="16"/>
        <v>0</v>
      </c>
      <c r="P30" s="224">
        <f t="shared" si="16"/>
        <v>0</v>
      </c>
      <c r="Q30" s="224">
        <f t="shared" si="16"/>
        <v>40</v>
      </c>
      <c r="R30" s="224">
        <f t="shared" si="16"/>
        <v>48</v>
      </c>
      <c r="S30" s="224">
        <f t="shared" si="16"/>
        <v>48</v>
      </c>
      <c r="T30" s="224">
        <f t="shared" si="16"/>
        <v>48</v>
      </c>
      <c r="U30" s="224">
        <f t="shared" si="16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7">E5+E20</f>
        <v>160</v>
      </c>
      <c r="D34" s="155">
        <f t="shared" ref="D34:D39" si="18">B34</f>
        <v>160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152</v>
      </c>
      <c r="C35" s="154">
        <f t="shared" si="17"/>
        <v>160</v>
      </c>
      <c r="D35" s="155">
        <f t="shared" si="18"/>
        <v>152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152</v>
      </c>
      <c r="C36" s="154">
        <f t="shared" si="17"/>
        <v>160</v>
      </c>
      <c r="D36" s="155">
        <f t="shared" si="18"/>
        <v>152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152</v>
      </c>
      <c r="C37" s="154">
        <f t="shared" si="17"/>
        <v>160</v>
      </c>
      <c r="D37" s="155">
        <f t="shared" si="18"/>
        <v>152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160</v>
      </c>
      <c r="C38" s="217">
        <f t="shared" si="17"/>
        <v>160</v>
      </c>
      <c r="D38" s="218">
        <f t="shared" si="18"/>
        <v>160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136</v>
      </c>
      <c r="C39" s="159">
        <f t="shared" si="17"/>
        <v>160</v>
      </c>
      <c r="D39" s="160">
        <f t="shared" si="18"/>
        <v>136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6" t="s">
        <v>0</v>
      </c>
      <c r="B46" s="257"/>
      <c r="C46" s="258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10</v>
      </c>
      <c r="C48" s="171">
        <f>B48*8</f>
        <v>80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6" t="s">
        <v>22</v>
      </c>
      <c r="B53" s="257"/>
      <c r="C53" s="258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10</v>
      </c>
      <c r="C55" s="171">
        <f t="shared" ref="C55:C56" si="21">B55*8</f>
        <v>80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10</v>
      </c>
      <c r="C57" s="173">
        <f t="shared" si="22"/>
        <v>80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160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4"/>
    <row r="261" s="115" customFormat="1" ht="14"/>
    <row r="262" s="115" customFormat="1" ht="14"/>
    <row r="263" s="115" customFormat="1" ht="14"/>
    <row r="264" s="115" customFormat="1" ht="14"/>
    <row r="265" s="115" customFormat="1" ht="14"/>
    <row r="266" s="115" customFormat="1" ht="14"/>
    <row r="267" s="115" customFormat="1" ht="14"/>
    <row r="268" s="115" customFormat="1" ht="14"/>
    <row r="269" s="115" customFormat="1" ht="14"/>
    <row r="270" s="115" customFormat="1" ht="14"/>
    <row r="271" s="115" customFormat="1" ht="14"/>
    <row r="272" s="115" customFormat="1" ht="14"/>
    <row r="273" s="115" customFormat="1" ht="14"/>
    <row r="274" s="115" customFormat="1" ht="14"/>
    <row r="275" s="115" customFormat="1" ht="14"/>
    <row r="276" s="115" customFormat="1" ht="14"/>
    <row r="277" s="115" customFormat="1" ht="14"/>
    <row r="278" s="115" customFormat="1" ht="14"/>
    <row r="279" s="115" customFormat="1" ht="14"/>
    <row r="280" s="115" customFormat="1" ht="14"/>
    <row r="281" s="115" customFormat="1" ht="14"/>
    <row r="282" s="115" customFormat="1" ht="14"/>
    <row r="283" s="115" customFormat="1" ht="14"/>
    <row r="284" s="115" customFormat="1" ht="14"/>
    <row r="285" s="115" customFormat="1" ht="14"/>
    <row r="286" s="115" customFormat="1" ht="14"/>
    <row r="287" s="115" customFormat="1" ht="14"/>
    <row r="288" s="115" customFormat="1" ht="14"/>
    <row r="289" s="115" customFormat="1" ht="14"/>
    <row r="290" s="115" customFormat="1" ht="14"/>
    <row r="291" s="115" customFormat="1" ht="14"/>
    <row r="292" s="115" customFormat="1" ht="14"/>
    <row r="293" s="115" customFormat="1" ht="14"/>
    <row r="294" s="115" customFormat="1" ht="14"/>
    <row r="295" s="115" customFormat="1" ht="14"/>
    <row r="296" s="115" customFormat="1" ht="14"/>
    <row r="297" s="115" customFormat="1" ht="14"/>
    <row r="298" s="115" customFormat="1" ht="14"/>
    <row r="299" s="115" customFormat="1" ht="14"/>
    <row r="300" s="115" customFormat="1" ht="14"/>
    <row r="301" s="115" customFormat="1" ht="14"/>
    <row r="302" s="115" customFormat="1" ht="14"/>
    <row r="303" s="115" customFormat="1" ht="14"/>
    <row r="304" s="115" customFormat="1" ht="14"/>
    <row r="305" s="115" customFormat="1" ht="14"/>
    <row r="306" s="115" customFormat="1" ht="14"/>
    <row r="307" s="115" customFormat="1" ht="14"/>
    <row r="308" s="115" customFormat="1" ht="14"/>
    <row r="309" s="115" customFormat="1" ht="14"/>
    <row r="310" s="115" customFormat="1" ht="14"/>
    <row r="311" s="115" customFormat="1" ht="14"/>
    <row r="312" s="115" customFormat="1" ht="14"/>
    <row r="313" s="115" customFormat="1" ht="14"/>
    <row r="314" s="115" customFormat="1" ht="14"/>
    <row r="315" s="115" customFormat="1" ht="14"/>
    <row r="316" s="115" customFormat="1" ht="14"/>
    <row r="317" s="115" customFormat="1" ht="14"/>
    <row r="318" s="115" customFormat="1" ht="14"/>
    <row r="319" s="115" customFormat="1" ht="14"/>
    <row r="320" s="115" customFormat="1" ht="14"/>
    <row r="321" s="115" customFormat="1" ht="14"/>
    <row r="322" s="115" customFormat="1" ht="14"/>
    <row r="323" s="115" customFormat="1" ht="14"/>
    <row r="324" s="115" customFormat="1" ht="14"/>
    <row r="325" s="115" customFormat="1" ht="14"/>
    <row r="326" s="115" customFormat="1" ht="14"/>
    <row r="327" s="115" customFormat="1" ht="14"/>
    <row r="328" s="115" customFormat="1" ht="14"/>
    <row r="329" s="115" customFormat="1" ht="14"/>
    <row r="330" s="115" customFormat="1" ht="14"/>
    <row r="331" s="115" customFormat="1" ht="14"/>
    <row r="332" s="115" customFormat="1" ht="14"/>
    <row r="333" s="115" customFormat="1" ht="14"/>
    <row r="334" s="115" customFormat="1" ht="14"/>
    <row r="335" s="115" customFormat="1" ht="14"/>
    <row r="336" s="115" customFormat="1" ht="14"/>
    <row r="337" s="115" customFormat="1" ht="14"/>
    <row r="338" s="115" customFormat="1" ht="14"/>
    <row r="339" s="115" customFormat="1" ht="14"/>
    <row r="340" s="115" customFormat="1" ht="14"/>
    <row r="341" s="115" customFormat="1" ht="14"/>
    <row r="342" s="115" customFormat="1" ht="14"/>
    <row r="343" s="115" customFormat="1" ht="14"/>
    <row r="344" s="115" customFormat="1" ht="14"/>
    <row r="345" s="115" customFormat="1" ht="14"/>
    <row r="346" s="115" customFormat="1" ht="14"/>
    <row r="347" s="115" customFormat="1" ht="14"/>
    <row r="348" s="115" customFormat="1" ht="14"/>
    <row r="349" s="115" customFormat="1" ht="14"/>
    <row r="350" s="115" customFormat="1" ht="14"/>
    <row r="351" s="115" customFormat="1" ht="14"/>
    <row r="352" s="115" customFormat="1" ht="14"/>
    <row r="353" s="115" customFormat="1" ht="14"/>
    <row r="354" s="115" customFormat="1" ht="14"/>
    <row r="355" s="115" customFormat="1" ht="14"/>
    <row r="356" s="115" customFormat="1" ht="14"/>
    <row r="357" s="115" customFormat="1" ht="14"/>
    <row r="358" s="115" customFormat="1" ht="14"/>
    <row r="359" s="115" customFormat="1" ht="14"/>
    <row r="360" s="115" customFormat="1" ht="14"/>
    <row r="361" s="115" customFormat="1" ht="14"/>
    <row r="362" s="115" customFormat="1" ht="14"/>
    <row r="363" s="115" customFormat="1" ht="14"/>
    <row r="364" s="115" customFormat="1" ht="14"/>
    <row r="365" s="115" customFormat="1" ht="14"/>
    <row r="366" s="115" customFormat="1" ht="14"/>
    <row r="367" s="115" customFormat="1" ht="14"/>
    <row r="368" s="115" customFormat="1" ht="14"/>
    <row r="369" s="115" customFormat="1" ht="14"/>
    <row r="370" s="115" customFormat="1" ht="14"/>
    <row r="371" s="115" customFormat="1" ht="14"/>
    <row r="372" s="115" customFormat="1" ht="14"/>
    <row r="373" s="115" customFormat="1" ht="14"/>
    <row r="374" s="115" customFormat="1" ht="14"/>
    <row r="375" s="115" customFormat="1" ht="14"/>
    <row r="376" s="115" customFormat="1" ht="14"/>
    <row r="377" s="115" customFormat="1" ht="14"/>
    <row r="378" s="115" customFormat="1" ht="14"/>
    <row r="379" s="115" customFormat="1" ht="14"/>
    <row r="380" s="115" customFormat="1" ht="14"/>
    <row r="381" s="115" customFormat="1" ht="14"/>
    <row r="382" s="115" customFormat="1" ht="14"/>
    <row r="383" s="115" customFormat="1" ht="14"/>
    <row r="384" s="115" customFormat="1" ht="14"/>
    <row r="385" s="115" customFormat="1" ht="14"/>
    <row r="386" s="115" customFormat="1" ht="14"/>
    <row r="387" s="115" customFormat="1" ht="14"/>
    <row r="388" s="115" customFormat="1" ht="14"/>
    <row r="389" s="115" customFormat="1" ht="14"/>
    <row r="390" s="115" customFormat="1" ht="14"/>
    <row r="391" s="115" customFormat="1" ht="14"/>
    <row r="392" s="115" customFormat="1" ht="14"/>
    <row r="393" s="115" customFormat="1" ht="14"/>
    <row r="394" s="115" customFormat="1" ht="14"/>
    <row r="395" s="115" customFormat="1" ht="14"/>
    <row r="396" s="115" customFormat="1" ht="14"/>
    <row r="397" s="115" customFormat="1" ht="14"/>
    <row r="398" s="115" customFormat="1" ht="14"/>
    <row r="399" s="115" customFormat="1" ht="14"/>
    <row r="400" s="115" customFormat="1" ht="14"/>
    <row r="401" s="115" customFormat="1" ht="14"/>
    <row r="402" s="115" customFormat="1" ht="14"/>
    <row r="403" s="115" customFormat="1" ht="14"/>
    <row r="404" s="115" customFormat="1" ht="14"/>
    <row r="405" s="115" customFormat="1" ht="14"/>
    <row r="406" s="115" customFormat="1" ht="14"/>
    <row r="407" s="115" customFormat="1" ht="14"/>
    <row r="408" s="115" customFormat="1" ht="14"/>
    <row r="409" s="115" customFormat="1" ht="14"/>
    <row r="410" s="115" customFormat="1" ht="14"/>
    <row r="411" s="115" customFormat="1" ht="14"/>
    <row r="412" s="115" customFormat="1" ht="14"/>
    <row r="413" s="115" customFormat="1" ht="14"/>
    <row r="414" s="115" customFormat="1" ht="14"/>
    <row r="415" s="115" customFormat="1" ht="14"/>
    <row r="416" s="115" customFormat="1" ht="14"/>
    <row r="417" s="115" customFormat="1" ht="14"/>
    <row r="418" s="115" customFormat="1" ht="14"/>
    <row r="419" s="115" customFormat="1" ht="14"/>
    <row r="420" s="115" customFormat="1" ht="14"/>
    <row r="421" s="115" customFormat="1" ht="14"/>
    <row r="422" s="115" customFormat="1" ht="14"/>
    <row r="423" s="115" customFormat="1" ht="14"/>
    <row r="424" s="115" customFormat="1" ht="14"/>
    <row r="425" s="115" customFormat="1" ht="14"/>
    <row r="426" s="115" customFormat="1" ht="14"/>
    <row r="427" s="115" customFormat="1" ht="14"/>
    <row r="428" s="115" customFormat="1" ht="14"/>
    <row r="429" s="115" customFormat="1" ht="14"/>
    <row r="430" s="115" customFormat="1" ht="14"/>
    <row r="431" s="115" customFormat="1" ht="14"/>
    <row r="432" s="115" customFormat="1" ht="14"/>
    <row r="433" s="115" customFormat="1" ht="14"/>
    <row r="434" s="115" customFormat="1" ht="14"/>
    <row r="435" s="115" customFormat="1" ht="14"/>
    <row r="436" s="115" customFormat="1" ht="14"/>
    <row r="437" s="115" customFormat="1" ht="14"/>
    <row r="438" s="115" customFormat="1" ht="14"/>
    <row r="439" s="115" customFormat="1" ht="14"/>
    <row r="440" s="115" customFormat="1" ht="14"/>
    <row r="441" s="115" customFormat="1" ht="14"/>
    <row r="442" s="115" customFormat="1" ht="14"/>
    <row r="443" s="115" customFormat="1" ht="14"/>
    <row r="444" s="115" customFormat="1" ht="14"/>
    <row r="445" s="115" customFormat="1" ht="14"/>
    <row r="446" s="115" customFormat="1" ht="14"/>
    <row r="447" s="115" customFormat="1" ht="14"/>
    <row r="448" s="115" customFormat="1" ht="14"/>
    <row r="449" s="115" customFormat="1" ht="14"/>
    <row r="450" s="115" customFormat="1" ht="14"/>
    <row r="451" s="115" customFormat="1" ht="14"/>
    <row r="452" s="115" customFormat="1" ht="14"/>
    <row r="453" s="115" customFormat="1" ht="14"/>
    <row r="454" s="115" customFormat="1" ht="14"/>
    <row r="455" s="115" customFormat="1" ht="14"/>
    <row r="456" s="115" customFormat="1" ht="14"/>
    <row r="457" s="115" customFormat="1" ht="14"/>
    <row r="458" s="115" customFormat="1" ht="14"/>
    <row r="459" s="115" customFormat="1" ht="14"/>
    <row r="460" s="115" customFormat="1" ht="14"/>
    <row r="461" s="115" customFormat="1" ht="14"/>
    <row r="462" s="115" customFormat="1" ht="14"/>
    <row r="463" s="115" customFormat="1" ht="14"/>
    <row r="464" s="115" customFormat="1" ht="14"/>
    <row r="465" s="115" customFormat="1" ht="14"/>
    <row r="466" s="115" customFormat="1" ht="14"/>
    <row r="467" s="115" customFormat="1" ht="14"/>
    <row r="468" s="115" customFormat="1" ht="14"/>
    <row r="469" s="115" customFormat="1" ht="14"/>
    <row r="470" s="115" customFormat="1" ht="14"/>
    <row r="471" s="115" customFormat="1" ht="14"/>
    <row r="472" s="115" customFormat="1" ht="14"/>
    <row r="473" s="115" customFormat="1" ht="14"/>
    <row r="474" s="115" customFormat="1" ht="14"/>
    <row r="475" s="115" customFormat="1" ht="14"/>
    <row r="476" s="115" customFormat="1" ht="14"/>
    <row r="477" s="115" customFormat="1" ht="14"/>
    <row r="478" s="115" customFormat="1" ht="14"/>
    <row r="479" s="115" customFormat="1" ht="14"/>
    <row r="480" s="115" customFormat="1" ht="14"/>
    <row r="481" s="115" customFormat="1" ht="14"/>
    <row r="482" s="115" customFormat="1" ht="14"/>
    <row r="483" s="115" customFormat="1" ht="14"/>
    <row r="484" s="115" customFormat="1" ht="14"/>
    <row r="485" s="115" customFormat="1" ht="14"/>
    <row r="486" s="115" customFormat="1" ht="14"/>
    <row r="487" s="115" customFormat="1" ht="14"/>
    <row r="488" s="115" customFormat="1" ht="14"/>
    <row r="489" s="115" customFormat="1" ht="14"/>
    <row r="490" s="115" customFormat="1" ht="14"/>
    <row r="491" s="115" customFormat="1" ht="14"/>
    <row r="492" s="115" customFormat="1" ht="14"/>
    <row r="493" s="115" customFormat="1" ht="14"/>
    <row r="494" s="115" customFormat="1" ht="14"/>
    <row r="495" s="115" customFormat="1" ht="14"/>
    <row r="496" s="115" customFormat="1" ht="14"/>
    <row r="497" s="115" customFormat="1" ht="14"/>
    <row r="498" s="115" customFormat="1" ht="14"/>
    <row r="499" s="115" customFormat="1" ht="14"/>
    <row r="500" s="115" customFormat="1" ht="14"/>
    <row r="501" s="115" customFormat="1" ht="14"/>
    <row r="502" s="115" customFormat="1" ht="14"/>
    <row r="503" s="115" customFormat="1" ht="14"/>
    <row r="504" s="115" customFormat="1" ht="14"/>
    <row r="505" s="115" customFormat="1" ht="14"/>
    <row r="506" s="115" customFormat="1" ht="14"/>
    <row r="507" s="115" customFormat="1" ht="14"/>
    <row r="508" s="115" customFormat="1" ht="14"/>
    <row r="509" s="115" customFormat="1" ht="14"/>
    <row r="510" s="115" customFormat="1" ht="14"/>
    <row r="511" s="115" customFormat="1" ht="14"/>
    <row r="512" s="115" customFormat="1" ht="14"/>
    <row r="513" s="115" customFormat="1" ht="14"/>
    <row r="514" s="115" customFormat="1" ht="14"/>
    <row r="515" s="115" customFormat="1" ht="14"/>
    <row r="516" s="115" customFormat="1" ht="14"/>
    <row r="517" s="115" customFormat="1" ht="14"/>
    <row r="518" s="115" customFormat="1" ht="14"/>
    <row r="519" s="115" customFormat="1" ht="14"/>
    <row r="520" s="115" customFormat="1" ht="14"/>
    <row r="521" s="115" customFormat="1" ht="14"/>
    <row r="522" s="115" customFormat="1" ht="14"/>
    <row r="523" s="115" customFormat="1" ht="14"/>
    <row r="524" s="115" customFormat="1" ht="14"/>
    <row r="525" s="115" customFormat="1" ht="14"/>
    <row r="526" s="115" customFormat="1" ht="14"/>
    <row r="527" s="115" customFormat="1" ht="14"/>
    <row r="528" s="115" customFormat="1" ht="14"/>
    <row r="529" s="115" customFormat="1" ht="14"/>
    <row r="530" s="115" customFormat="1" ht="14"/>
    <row r="531" s="115" customFormat="1" ht="14"/>
    <row r="532" s="115" customFormat="1" ht="14"/>
    <row r="533" s="115" customFormat="1" ht="14"/>
    <row r="534" s="115" customFormat="1" ht="14"/>
    <row r="535" s="115" customFormat="1" ht="14"/>
    <row r="536" s="115" customFormat="1" ht="14"/>
    <row r="537" s="115" customFormat="1" ht="14"/>
    <row r="538" s="115" customFormat="1" ht="14"/>
    <row r="539" s="115" customFormat="1" ht="14"/>
    <row r="540" s="115" customFormat="1" ht="14"/>
    <row r="541" s="115" customFormat="1" ht="14"/>
    <row r="542" s="115" customFormat="1" ht="14"/>
    <row r="543" s="115" customFormat="1" ht="14"/>
    <row r="544" s="115" customFormat="1" ht="14"/>
    <row r="545" s="115" customFormat="1" ht="14"/>
    <row r="546" s="115" customFormat="1" ht="14"/>
    <row r="547" s="115" customFormat="1" ht="14"/>
    <row r="548" s="115" customFormat="1" ht="14"/>
    <row r="549" s="115" customFormat="1" ht="14"/>
    <row r="550" s="115" customFormat="1" ht="14"/>
    <row r="551" s="115" customFormat="1" ht="14"/>
    <row r="552" s="115" customFormat="1" ht="14"/>
    <row r="553" s="115" customFormat="1" ht="14"/>
    <row r="554" s="115" customFormat="1" ht="14"/>
    <row r="555" s="115" customFormat="1" ht="14"/>
    <row r="556" s="115" customFormat="1" ht="14"/>
    <row r="557" s="115" customFormat="1" ht="14"/>
    <row r="558" s="115" customFormat="1" ht="14"/>
    <row r="559" s="115" customFormat="1" ht="14"/>
    <row r="560" s="115" customFormat="1" ht="14"/>
    <row r="561" s="115" customFormat="1" ht="14"/>
    <row r="562" s="115" customFormat="1" ht="14"/>
    <row r="563" s="115" customFormat="1" ht="14"/>
    <row r="564" s="115" customFormat="1" ht="14"/>
    <row r="565" s="115" customFormat="1" ht="14"/>
    <row r="566" s="115" customFormat="1" ht="14"/>
    <row r="567" s="115" customFormat="1" ht="14"/>
    <row r="568" s="115" customFormat="1" ht="14"/>
    <row r="569" s="115" customFormat="1" ht="14"/>
    <row r="570" s="115" customFormat="1" ht="14"/>
    <row r="571" s="115" customFormat="1" ht="14"/>
    <row r="572" s="115" customFormat="1" ht="14"/>
    <row r="573" s="115" customFormat="1" ht="14"/>
    <row r="574" s="115" customFormat="1" ht="14"/>
    <row r="575" s="115" customFormat="1" ht="14"/>
    <row r="576" s="115" customFormat="1" ht="14"/>
    <row r="577" s="115" customFormat="1" ht="14"/>
    <row r="578" s="115" customFormat="1" ht="14"/>
    <row r="579" s="115" customFormat="1" ht="14"/>
    <row r="580" s="115" customFormat="1" ht="14"/>
    <row r="581" s="115" customFormat="1" ht="14"/>
    <row r="582" s="115" customFormat="1" ht="14"/>
    <row r="583" s="115" customFormat="1" ht="14"/>
    <row r="584" s="115" customFormat="1" ht="14"/>
    <row r="585" s="115" customFormat="1" ht="14"/>
    <row r="586" s="115" customFormat="1" ht="14"/>
    <row r="587" s="115" customFormat="1" ht="14"/>
    <row r="588" s="115" customFormat="1" ht="14"/>
    <row r="589" s="115" customFormat="1" ht="14"/>
    <row r="590" s="115" customFormat="1" ht="14"/>
    <row r="591" s="115" customFormat="1" ht="14"/>
    <row r="592" s="115" customFormat="1" ht="14"/>
    <row r="593" s="115" customFormat="1" ht="14"/>
    <row r="594" s="115" customFormat="1" ht="14"/>
    <row r="595" s="115" customFormat="1" ht="14"/>
    <row r="596" s="115" customFormat="1" ht="14"/>
    <row r="597" s="115" customFormat="1" ht="14"/>
    <row r="598" s="115" customFormat="1" ht="14"/>
    <row r="599" s="115" customFormat="1" ht="14"/>
    <row r="600" s="115" customFormat="1" ht="14"/>
    <row r="601" s="115" customFormat="1" ht="14"/>
    <row r="602" s="115" customFormat="1" ht="14"/>
    <row r="603" s="115" customFormat="1" ht="14"/>
    <row r="604" s="115" customFormat="1" ht="14"/>
    <row r="605" s="115" customFormat="1" ht="14"/>
    <row r="606" s="115" customFormat="1" ht="14"/>
    <row r="607" s="115" customFormat="1" ht="14"/>
    <row r="608" s="115" customFormat="1" ht="14"/>
    <row r="609" s="115" customFormat="1" ht="14"/>
    <row r="610" s="115" customFormat="1" ht="14"/>
    <row r="611" s="115" customFormat="1" ht="14"/>
    <row r="612" s="115" customFormat="1" ht="14"/>
    <row r="613" s="115" customFormat="1" ht="14"/>
    <row r="614" s="115" customFormat="1" ht="14"/>
    <row r="615" s="115" customFormat="1" ht="14"/>
    <row r="616" s="115" customFormat="1" ht="14"/>
    <row r="617" s="115" customFormat="1" ht="14"/>
    <row r="618" s="115" customFormat="1" ht="14"/>
    <row r="619" s="115" customFormat="1" ht="14"/>
    <row r="620" s="115" customFormat="1" ht="14"/>
    <row r="621" s="115" customFormat="1" ht="14"/>
    <row r="622" s="115" customFormat="1" ht="14"/>
    <row r="623" s="115" customFormat="1" ht="14"/>
    <row r="624" s="115" customFormat="1" ht="14"/>
    <row r="625" s="115" customFormat="1" ht="14"/>
    <row r="626" s="115" customFormat="1" ht="14"/>
    <row r="627" s="115" customFormat="1" ht="14"/>
    <row r="628" s="115" customFormat="1" ht="14"/>
    <row r="629" s="115" customFormat="1" ht="14"/>
    <row r="630" s="115" customFormat="1" ht="14"/>
    <row r="631" s="115" customFormat="1" ht="14"/>
    <row r="632" s="115" customFormat="1" ht="14"/>
    <row r="633" s="115" customFormat="1" ht="14"/>
    <row r="634" s="115" customFormat="1" ht="14"/>
    <row r="635" s="115" customFormat="1" ht="14"/>
    <row r="636" s="115" customFormat="1" ht="14"/>
    <row r="637" s="115" customFormat="1" ht="14"/>
    <row r="638" s="115" customFormat="1" ht="14"/>
    <row r="639" s="115" customFormat="1" ht="14"/>
    <row r="640" s="115" customFormat="1" ht="14"/>
    <row r="641" s="115" customFormat="1" ht="14"/>
    <row r="642" s="115" customFormat="1" ht="14"/>
    <row r="643" s="115" customFormat="1" ht="14"/>
    <row r="644" s="115" customFormat="1" ht="14"/>
    <row r="645" s="115" customFormat="1" ht="14"/>
    <row r="646" s="115" customFormat="1" ht="14"/>
    <row r="647" s="115" customFormat="1" ht="14"/>
    <row r="648" s="115" customFormat="1" ht="14"/>
    <row r="649" s="115" customFormat="1" ht="14"/>
    <row r="650" s="115" customFormat="1" ht="14"/>
    <row r="651" s="115" customFormat="1" ht="14"/>
    <row r="652" s="115" customFormat="1" ht="14"/>
    <row r="653" s="115" customFormat="1" ht="14"/>
    <row r="654" s="115" customFormat="1" ht="14"/>
    <row r="655" s="115" customFormat="1" ht="14"/>
    <row r="656" s="115" customFormat="1" ht="14"/>
    <row r="657" s="115" customFormat="1" ht="14"/>
    <row r="658" s="115" customFormat="1" ht="14"/>
    <row r="659" s="115" customFormat="1" ht="14"/>
    <row r="660" s="115" customFormat="1" ht="14"/>
    <row r="661" s="115" customFormat="1" ht="14"/>
    <row r="662" s="115" customFormat="1" ht="14"/>
    <row r="663" s="115" customFormat="1" ht="14"/>
    <row r="664" s="115" customFormat="1" ht="14"/>
    <row r="665" s="115" customFormat="1" ht="14"/>
    <row r="666" s="115" customFormat="1" ht="14"/>
    <row r="667" s="115" customFormat="1" ht="14"/>
    <row r="668" s="115" customFormat="1" ht="14"/>
    <row r="669" s="115" customFormat="1" ht="14"/>
    <row r="670" s="115" customFormat="1" ht="14"/>
    <row r="671" s="115" customFormat="1" ht="14"/>
    <row r="672" s="115" customFormat="1" ht="14"/>
    <row r="673" s="115" customFormat="1" ht="14"/>
    <row r="674" s="115" customFormat="1" ht="14"/>
    <row r="675" s="115" customFormat="1" ht="14"/>
    <row r="676" s="115" customFormat="1" ht="14"/>
    <row r="677" s="115" customFormat="1" ht="14"/>
    <row r="678" s="115" customFormat="1" ht="14"/>
    <row r="679" s="115" customFormat="1" ht="14"/>
    <row r="680" s="115" customFormat="1" ht="14"/>
    <row r="681" s="115" customFormat="1" ht="14"/>
    <row r="682" s="115" customFormat="1" ht="14"/>
    <row r="683" s="115" customFormat="1" ht="14"/>
    <row r="684" s="115" customFormat="1" ht="14"/>
    <row r="685" s="115" customFormat="1" ht="14"/>
    <row r="686" s="115" customFormat="1" ht="14"/>
    <row r="687" s="115" customFormat="1" ht="14"/>
    <row r="688" s="115" customFormat="1" ht="14"/>
    <row r="689" s="115" customFormat="1" ht="14"/>
    <row r="690" s="115" customFormat="1" ht="14"/>
    <row r="691" s="115" customFormat="1" ht="14"/>
    <row r="692" s="115" customFormat="1" ht="14"/>
    <row r="693" s="115" customFormat="1" ht="14"/>
    <row r="694" s="115" customFormat="1" ht="14"/>
    <row r="695" s="115" customFormat="1" ht="14"/>
    <row r="696" s="115" customFormat="1" ht="14"/>
    <row r="697" s="115" customFormat="1" ht="14"/>
    <row r="698" s="115" customFormat="1" ht="14"/>
    <row r="699" s="115" customFormat="1" ht="14"/>
    <row r="700" s="115" customFormat="1" ht="14"/>
    <row r="701" s="115" customFormat="1" ht="14"/>
    <row r="702" s="115" customFormat="1" ht="14"/>
    <row r="703" s="115" customFormat="1" ht="14"/>
    <row r="704" s="115" customFormat="1" ht="14"/>
    <row r="705" s="115" customFormat="1" ht="14"/>
    <row r="706" s="115" customFormat="1" ht="14"/>
    <row r="707" s="115" customFormat="1" ht="14"/>
    <row r="708" s="115" customFormat="1" ht="14"/>
    <row r="709" s="115" customFormat="1" ht="14"/>
    <row r="710" s="115" customFormat="1" ht="14"/>
    <row r="711" s="115" customFormat="1" ht="14"/>
    <row r="712" s="115" customFormat="1" ht="14"/>
    <row r="713" s="115" customFormat="1" ht="14"/>
    <row r="714" s="115" customFormat="1" ht="14"/>
    <row r="715" s="115" customFormat="1" ht="14"/>
    <row r="716" s="115" customFormat="1" ht="14"/>
    <row r="717" s="115" customFormat="1" ht="14"/>
    <row r="718" s="115" customFormat="1" ht="14"/>
    <row r="719" s="115" customFormat="1" ht="14"/>
    <row r="720" s="115" customFormat="1" ht="14"/>
    <row r="721" s="115" customFormat="1" ht="14"/>
    <row r="722" s="115" customFormat="1" ht="14"/>
    <row r="723" s="115" customFormat="1" ht="14"/>
    <row r="724" s="115" customFormat="1" ht="14"/>
    <row r="725" s="115" customFormat="1" ht="14"/>
    <row r="726" s="115" customFormat="1" ht="14"/>
    <row r="727" s="115" customFormat="1" ht="14"/>
    <row r="728" s="115" customFormat="1" ht="14"/>
    <row r="729" s="115" customFormat="1" ht="14"/>
    <row r="730" s="115" customFormat="1" ht="14"/>
    <row r="731" s="115" customFormat="1" ht="14"/>
    <row r="732" s="115" customFormat="1" ht="14"/>
    <row r="733" s="115" customFormat="1" ht="14"/>
    <row r="734" s="115" customFormat="1" ht="14"/>
    <row r="735" s="115" customFormat="1" ht="14"/>
    <row r="736" s="115" customFormat="1" ht="14"/>
    <row r="737" s="115" customFormat="1" ht="14"/>
    <row r="738" s="115" customFormat="1" ht="14"/>
    <row r="739" s="115" customFormat="1" ht="14"/>
    <row r="740" s="115" customFormat="1" ht="14"/>
    <row r="741" s="115" customFormat="1" ht="14"/>
    <row r="742" s="115" customFormat="1" ht="14"/>
    <row r="743" s="115" customFormat="1" ht="14"/>
    <row r="744" s="115" customFormat="1" ht="14"/>
    <row r="745" s="115" customFormat="1" ht="14"/>
    <row r="746" s="115" customFormat="1" ht="14"/>
    <row r="747" s="115" customFormat="1" ht="14"/>
    <row r="748" s="115" customFormat="1" ht="14"/>
    <row r="749" s="115" customFormat="1" ht="14"/>
    <row r="750" s="115" customFormat="1" ht="14"/>
    <row r="751" s="115" customFormat="1" ht="14"/>
    <row r="752" s="115" customFormat="1" ht="14"/>
    <row r="753" s="115" customFormat="1" ht="14"/>
    <row r="754" s="115" customFormat="1" ht="14"/>
    <row r="755" s="115" customFormat="1" ht="14"/>
    <row r="756" s="115" customFormat="1" ht="14"/>
    <row r="757" s="115" customFormat="1" ht="14"/>
    <row r="758" s="115" customFormat="1" ht="14"/>
    <row r="759" s="115" customFormat="1" ht="14"/>
    <row r="760" s="115" customFormat="1" ht="14"/>
    <row r="761" s="115" customFormat="1" ht="14"/>
    <row r="762" s="115" customFormat="1" ht="14"/>
    <row r="763" s="115" customFormat="1" ht="14"/>
    <row r="764" s="115" customFormat="1" ht="14"/>
    <row r="765" s="115" customFormat="1" ht="14"/>
    <row r="766" s="115" customFormat="1" ht="14"/>
    <row r="767" s="115" customFormat="1" ht="14"/>
    <row r="768" s="115" customFormat="1" ht="14"/>
    <row r="769" s="115" customFormat="1" ht="14"/>
    <row r="770" s="115" customFormat="1" ht="14"/>
    <row r="771" s="115" customFormat="1" ht="14"/>
    <row r="772" s="115" customFormat="1" ht="14"/>
    <row r="773" s="115" customFormat="1" ht="14"/>
    <row r="774" s="115" customFormat="1" ht="14"/>
    <row r="775" s="115" customFormat="1" ht="14"/>
    <row r="776" s="115" customFormat="1" ht="14"/>
    <row r="777" s="115" customFormat="1" ht="14"/>
    <row r="778" s="115" customFormat="1" ht="14"/>
    <row r="779" s="115" customFormat="1" ht="14"/>
    <row r="780" s="115" customFormat="1" ht="14"/>
    <row r="781" s="115" customFormat="1" ht="14"/>
    <row r="782" s="115" customFormat="1" ht="14"/>
    <row r="783" s="115" customFormat="1" ht="14"/>
    <row r="784" s="115" customFormat="1" ht="14"/>
    <row r="785" s="115" customFormat="1" ht="14"/>
    <row r="786" s="115" customFormat="1" ht="14"/>
    <row r="787" s="115" customFormat="1" ht="14"/>
    <row r="788" s="115" customFormat="1" ht="14"/>
    <row r="789" s="115" customFormat="1" ht="14"/>
    <row r="790" s="115" customFormat="1" ht="14"/>
    <row r="791" s="115" customFormat="1" ht="14"/>
    <row r="792" s="115" customFormat="1" ht="14"/>
    <row r="793" s="115" customFormat="1" ht="14"/>
    <row r="794" s="115" customFormat="1" ht="14"/>
    <row r="795" s="115" customFormat="1" ht="14"/>
    <row r="796" s="115" customFormat="1" ht="14"/>
    <row r="797" s="115" customFormat="1" ht="14"/>
    <row r="798" s="115" customFormat="1" ht="14"/>
    <row r="799" s="115" customFormat="1" ht="14"/>
    <row r="800" s="115" customFormat="1" ht="14"/>
    <row r="801" s="115" customFormat="1" ht="14"/>
    <row r="802" s="115" customFormat="1" ht="14"/>
    <row r="803" s="115" customFormat="1" ht="14"/>
    <row r="804" s="115" customFormat="1" ht="14"/>
    <row r="805" s="115" customFormat="1" ht="14"/>
    <row r="806" s="115" customFormat="1" ht="14"/>
    <row r="807" s="115" customFormat="1" ht="14"/>
    <row r="808" s="115" customFormat="1" ht="14"/>
    <row r="809" s="115" customFormat="1" ht="14"/>
    <row r="810" s="115" customFormat="1" ht="14"/>
    <row r="811" s="115" customFormat="1" ht="14"/>
    <row r="812" s="115" customFormat="1" ht="14"/>
    <row r="813" s="115" customFormat="1" ht="14"/>
    <row r="814" s="115" customFormat="1" ht="14"/>
    <row r="815" s="115" customFormat="1" ht="14"/>
    <row r="816" s="115" customFormat="1" ht="14"/>
    <row r="817" s="115" customFormat="1" ht="14"/>
    <row r="818" s="115" customFormat="1" ht="14"/>
    <row r="819" s="115" customFormat="1" ht="14"/>
    <row r="820" s="115" customFormat="1" ht="14"/>
    <row r="821" s="115" customFormat="1" ht="14"/>
    <row r="822" s="115" customFormat="1" ht="14"/>
    <row r="823" s="115" customFormat="1" ht="14"/>
    <row r="824" s="115" customFormat="1" ht="14"/>
    <row r="825" s="115" customFormat="1" ht="14"/>
    <row r="826" s="115" customFormat="1" ht="14"/>
    <row r="827" s="115" customFormat="1" ht="14"/>
    <row r="828" s="115" customFormat="1" ht="14"/>
    <row r="829" s="115" customFormat="1" ht="14"/>
    <row r="830" s="115" customFormat="1" ht="14"/>
    <row r="831" s="115" customFormat="1" ht="14"/>
    <row r="832" s="115" customFormat="1" ht="14"/>
    <row r="833" s="115" customFormat="1" ht="14"/>
    <row r="834" s="115" customFormat="1" ht="14"/>
    <row r="835" s="115" customFormat="1" ht="14"/>
    <row r="836" s="115" customFormat="1" ht="14"/>
    <row r="837" s="115" customFormat="1" ht="14"/>
    <row r="838" s="115" customFormat="1" ht="14"/>
    <row r="839" s="115" customFormat="1" ht="14"/>
    <row r="840" s="115" customFormat="1" ht="14"/>
    <row r="841" s="115" customFormat="1" ht="14"/>
    <row r="842" s="115" customFormat="1" ht="14"/>
    <row r="843" s="115" customFormat="1" ht="14"/>
    <row r="844" s="115" customFormat="1" ht="14"/>
    <row r="845" s="115" customFormat="1" ht="14"/>
    <row r="846" s="115" customFormat="1" ht="14"/>
    <row r="847" s="115" customFormat="1" ht="14"/>
    <row r="848" s="115" customFormat="1" ht="14"/>
    <row r="849" s="115" customFormat="1" ht="14"/>
    <row r="850" s="115" customFormat="1" ht="14"/>
    <row r="851" s="115" customFormat="1" ht="14"/>
    <row r="852" s="115" customFormat="1" ht="14"/>
    <row r="853" s="115" customFormat="1" ht="14"/>
    <row r="854" s="115" customFormat="1" ht="14"/>
    <row r="855" s="115" customFormat="1" ht="14"/>
    <row r="856" s="115" customFormat="1" ht="14"/>
    <row r="857" s="115" customFormat="1" ht="14"/>
    <row r="858" s="115" customFormat="1" ht="14"/>
    <row r="859" s="115" customFormat="1" ht="14"/>
    <row r="860" s="115" customFormat="1" ht="14"/>
    <row r="861" s="115" customFormat="1" ht="14"/>
    <row r="862" s="115" customFormat="1" ht="14"/>
    <row r="863" s="115" customFormat="1" ht="14"/>
    <row r="864" s="115" customFormat="1" ht="14"/>
    <row r="865" s="115" customFormat="1" ht="14"/>
    <row r="866" s="115" customFormat="1" ht="14"/>
    <row r="867" s="115" customFormat="1" ht="14"/>
    <row r="868" s="115" customFormat="1" ht="14"/>
    <row r="869" s="115" customFormat="1" ht="14"/>
    <row r="870" s="115" customFormat="1" ht="14"/>
    <row r="871" s="115" customFormat="1" ht="14"/>
    <row r="872" s="115" customFormat="1" ht="14"/>
    <row r="873" s="115" customFormat="1" ht="14"/>
    <row r="874" s="115" customFormat="1" ht="14"/>
    <row r="875" s="115" customFormat="1" ht="14"/>
    <row r="876" s="115" customFormat="1" ht="14"/>
    <row r="877" s="115" customFormat="1" ht="14"/>
    <row r="878" s="115" customFormat="1" ht="14"/>
    <row r="879" s="115" customFormat="1" ht="14"/>
    <row r="880" s="115" customFormat="1" ht="14"/>
    <row r="881" s="115" customFormat="1" ht="14"/>
    <row r="882" s="115" customFormat="1" ht="14"/>
    <row r="883" s="115" customFormat="1" ht="14"/>
    <row r="884" s="115" customFormat="1" ht="14"/>
    <row r="885" s="115" customFormat="1" ht="14"/>
    <row r="886" s="115" customFormat="1" ht="14"/>
    <row r="887" s="115" customFormat="1" ht="14"/>
    <row r="888" s="115" customFormat="1" ht="14"/>
    <row r="889" s="115" customFormat="1" ht="14"/>
    <row r="890" s="115" customFormat="1" ht="14"/>
    <row r="891" s="115" customFormat="1" ht="14"/>
    <row r="892" s="115" customFormat="1" ht="14"/>
    <row r="893" s="115" customFormat="1" ht="14"/>
    <row r="894" s="115" customFormat="1" ht="14"/>
    <row r="895" s="115" customFormat="1" ht="14"/>
    <row r="896" s="115" customFormat="1" ht="14"/>
    <row r="897" s="115" customFormat="1" ht="14"/>
    <row r="898" s="115" customFormat="1" ht="14"/>
    <row r="899" s="115" customFormat="1" ht="14"/>
    <row r="900" s="115" customFormat="1" ht="14"/>
    <row r="901" s="115" customFormat="1" ht="14"/>
    <row r="902" s="115" customFormat="1" ht="14"/>
    <row r="903" s="115" customFormat="1" ht="14"/>
    <row r="904" s="115" customFormat="1" ht="14"/>
    <row r="905" s="115" customFormat="1" ht="14"/>
    <row r="906" s="115" customFormat="1" ht="14"/>
    <row r="907" s="115" customFormat="1" ht="14"/>
    <row r="908" s="115" customFormat="1" ht="14"/>
    <row r="909" s="115" customFormat="1" ht="14"/>
    <row r="910" s="115" customFormat="1" ht="14"/>
    <row r="911" s="115" customFormat="1" ht="14"/>
    <row r="912" s="115" customFormat="1" ht="14"/>
    <row r="913" s="115" customFormat="1" ht="14"/>
    <row r="914" s="115" customFormat="1" ht="14"/>
    <row r="915" s="115" customFormat="1" ht="14"/>
    <row r="916" s="115" customFormat="1" ht="14"/>
    <row r="917" s="115" customFormat="1" ht="14"/>
    <row r="918" s="115" customFormat="1" ht="14"/>
    <row r="919" s="115" customFormat="1" ht="14"/>
    <row r="920" s="115" customFormat="1" ht="14"/>
    <row r="921" s="115" customFormat="1" ht="14"/>
    <row r="922" s="115" customFormat="1" ht="14"/>
    <row r="923" s="115" customFormat="1" ht="14"/>
    <row r="924" s="115" customFormat="1" ht="14"/>
    <row r="925" s="115" customFormat="1" ht="14"/>
    <row r="926" s="115" customFormat="1" ht="14"/>
    <row r="927" s="115" customFormat="1" ht="14"/>
    <row r="928" s="115" customFormat="1" ht="14"/>
    <row r="929" s="115" customFormat="1" ht="14"/>
    <row r="930" s="115" customFormat="1" ht="14"/>
    <row r="931" s="115" customFormat="1" ht="14"/>
    <row r="932" s="115" customFormat="1" ht="14"/>
    <row r="933" s="115" customFormat="1" ht="14"/>
    <row r="934" s="115" customFormat="1" ht="14"/>
    <row r="935" s="115" customFormat="1" ht="14"/>
    <row r="936" s="115" customFormat="1" ht="14"/>
    <row r="937" s="115" customFormat="1" ht="14"/>
    <row r="938" s="115" customFormat="1" ht="14"/>
    <row r="939" s="115" customFormat="1" ht="14"/>
    <row r="940" s="115" customFormat="1" ht="14"/>
    <row r="941" s="115" customFormat="1" ht="14"/>
    <row r="942" s="115" customFormat="1" ht="14"/>
    <row r="943" s="115" customFormat="1" ht="14"/>
    <row r="944" s="115" customFormat="1" ht="14"/>
    <row r="945" s="115" customFormat="1" ht="14"/>
    <row r="946" s="115" customFormat="1" ht="14"/>
    <row r="947" s="115" customFormat="1" ht="14"/>
    <row r="948" s="115" customFormat="1" ht="14"/>
    <row r="949" s="115" customFormat="1" ht="14"/>
    <row r="950" s="115" customFormat="1" ht="14"/>
    <row r="951" s="115" customFormat="1" ht="14"/>
    <row r="952" s="115" customFormat="1" ht="14"/>
    <row r="953" s="115" customFormat="1" ht="14"/>
    <row r="954" s="115" customFormat="1" ht="14"/>
    <row r="955" s="115" customFormat="1" ht="14"/>
    <row r="956" s="115" customFormat="1" ht="14"/>
    <row r="957" s="115" customFormat="1" ht="14"/>
    <row r="958" s="115" customFormat="1" ht="14"/>
    <row r="959" s="115" customFormat="1" ht="14"/>
    <row r="960" s="115" customFormat="1" ht="14"/>
    <row r="961" s="115" customFormat="1" ht="14"/>
    <row r="962" s="115" customFormat="1" ht="14"/>
    <row r="963" s="115" customFormat="1" ht="14"/>
    <row r="964" s="115" customFormat="1" ht="14"/>
    <row r="965" s="115" customFormat="1" ht="14"/>
    <row r="966" s="115" customFormat="1" ht="14"/>
    <row r="967" s="115" customFormat="1" ht="14"/>
    <row r="968" s="115" customFormat="1" ht="14"/>
    <row r="969" s="115" customFormat="1" ht="14"/>
    <row r="970" s="115" customFormat="1" ht="14"/>
    <row r="971" s="115" customFormat="1" ht="14"/>
    <row r="972" s="115" customFormat="1" ht="14"/>
    <row r="973" s="115" customFormat="1" ht="14"/>
    <row r="974" s="115" customFormat="1" ht="14"/>
    <row r="975" s="115" customFormat="1" ht="14"/>
    <row r="976" s="115" customFormat="1" ht="14"/>
    <row r="977" s="115" customFormat="1" ht="14"/>
    <row r="978" s="115" customFormat="1" ht="14"/>
    <row r="979" s="115" customFormat="1" ht="14"/>
    <row r="980" s="115" customFormat="1" ht="14"/>
    <row r="981" s="115" customFormat="1" ht="14"/>
    <row r="982" s="115" customFormat="1" ht="14"/>
    <row r="983" s="115" customFormat="1" ht="14"/>
    <row r="984" s="115" customFormat="1" ht="14"/>
    <row r="985" s="115" customFormat="1" ht="14"/>
    <row r="986" s="115" customFormat="1" ht="14"/>
    <row r="987" s="115" customFormat="1" ht="14"/>
    <row r="988" s="115" customFormat="1" ht="14"/>
    <row r="989" s="115" customFormat="1" ht="14"/>
    <row r="990" s="115" customFormat="1" ht="14"/>
    <row r="991" s="115" customFormat="1" ht="14"/>
    <row r="992" s="115" customFormat="1" ht="14"/>
    <row r="993" s="115" customFormat="1" ht="14"/>
    <row r="994" s="115" customFormat="1" ht="14"/>
    <row r="995" s="115" customFormat="1" ht="14"/>
    <row r="996" s="115" customFormat="1" ht="14"/>
    <row r="997" s="115" customFormat="1" ht="14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68A63-5768-4DEE-A5B7-D9C2CA6C161F}">
  <sheetPr>
    <tabColor theme="6" tint="0.39997558519241921"/>
  </sheetPr>
  <dimension ref="A1:AI997"/>
  <sheetViews>
    <sheetView showGridLines="0" workbookViewId="0">
      <pane xSplit="2" topLeftCell="C1" activePane="topRight" state="frozen"/>
      <selection pane="topRight" activeCell="C1" sqref="C1"/>
    </sheetView>
  </sheetViews>
  <sheetFormatPr baseColWidth="10" defaultColWidth="12.5" defaultRowHeight="15.75" customHeight="1"/>
  <cols>
    <col min="1" max="1" width="28.1640625" style="115" customWidth="1"/>
    <col min="2" max="2" width="11.83203125" style="115" customWidth="1"/>
    <col min="3" max="3" width="19" style="115" customWidth="1"/>
    <col min="4" max="4" width="10.5" style="115" customWidth="1"/>
    <col min="5" max="5" width="9.1640625" style="115" customWidth="1"/>
    <col min="6" max="6" width="8.83203125" style="115" customWidth="1"/>
    <col min="7" max="7" width="9.5" style="115" customWidth="1"/>
    <col min="8" max="8" width="9" style="115" customWidth="1"/>
    <col min="9" max="9" width="6.83203125" style="115" customWidth="1"/>
    <col min="10" max="10" width="7.5" style="115" customWidth="1"/>
    <col min="11" max="11" width="7.33203125" style="115" customWidth="1"/>
    <col min="12" max="12" width="7.83203125" style="115" customWidth="1"/>
    <col min="13" max="13" width="7.6640625" style="115" customWidth="1"/>
    <col min="14" max="15" width="7.1640625" style="115" customWidth="1"/>
    <col min="16" max="16" width="7.33203125" style="115" customWidth="1"/>
    <col min="17" max="18" width="6.5" style="115" customWidth="1"/>
    <col min="19" max="19" width="7.33203125" style="115" customWidth="1"/>
    <col min="20" max="20" width="7.5" style="115" customWidth="1"/>
    <col min="21" max="21" width="6.6640625" style="115" customWidth="1"/>
    <col min="22" max="22" width="7.1640625" style="115" customWidth="1"/>
    <col min="23" max="23" width="7.5" style="115" customWidth="1"/>
    <col min="24" max="24" width="9.33203125" style="115" customWidth="1"/>
    <col min="25" max="25" width="9.5" style="115" customWidth="1"/>
    <col min="26" max="26" width="9.33203125" style="115" customWidth="1"/>
    <col min="27" max="27" width="8.6640625" style="115" customWidth="1"/>
    <col min="28" max="28" width="15.33203125" style="115" customWidth="1"/>
    <col min="29" max="29" width="14" style="115" customWidth="1"/>
    <col min="30" max="30" width="7.5" style="115" customWidth="1"/>
    <col min="31" max="31" width="17.6640625" style="115" customWidth="1"/>
    <col min="32" max="35" width="7.5" style="115" customWidth="1"/>
    <col min="36" max="16384" width="12.5" style="115"/>
  </cols>
  <sheetData>
    <row r="1" spans="1:35" ht="15.75" customHeight="1">
      <c r="A1" s="107"/>
      <c r="B1" s="108"/>
      <c r="C1" s="109">
        <v>46082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 thickBot="1">
      <c r="A3" s="254" t="s">
        <v>1</v>
      </c>
      <c r="B3" s="254" t="s">
        <v>2</v>
      </c>
      <c r="C3" s="254" t="s">
        <v>3</v>
      </c>
      <c r="D3" s="254" t="s">
        <v>4</v>
      </c>
      <c r="E3" s="259" t="s">
        <v>5</v>
      </c>
      <c r="F3" s="255"/>
      <c r="G3" s="255"/>
      <c r="H3" s="255"/>
      <c r="I3" s="141">
        <f>C1</f>
        <v>46082</v>
      </c>
      <c r="J3" s="141">
        <f t="shared" ref="J3:W3" si="0">I3+1</f>
        <v>46083</v>
      </c>
      <c r="K3" s="141">
        <f t="shared" si="0"/>
        <v>46084</v>
      </c>
      <c r="L3" s="141">
        <f t="shared" si="0"/>
        <v>46085</v>
      </c>
      <c r="M3" s="141">
        <f t="shared" si="0"/>
        <v>46086</v>
      </c>
      <c r="N3" s="141">
        <f t="shared" si="0"/>
        <v>46087</v>
      </c>
      <c r="O3" s="141">
        <f t="shared" si="0"/>
        <v>46088</v>
      </c>
      <c r="P3" s="141">
        <f t="shared" si="0"/>
        <v>46089</v>
      </c>
      <c r="Q3" s="141">
        <f t="shared" si="0"/>
        <v>46090</v>
      </c>
      <c r="R3" s="141">
        <f t="shared" si="0"/>
        <v>46091</v>
      </c>
      <c r="S3" s="141">
        <f t="shared" si="0"/>
        <v>46092</v>
      </c>
      <c r="T3" s="141">
        <f t="shared" si="0"/>
        <v>46093</v>
      </c>
      <c r="U3" s="141">
        <f t="shared" si="0"/>
        <v>46094</v>
      </c>
      <c r="V3" s="141">
        <f t="shared" si="0"/>
        <v>46095</v>
      </c>
      <c r="W3" s="141">
        <f t="shared" si="0"/>
        <v>46096</v>
      </c>
      <c r="X3" s="254" t="s">
        <v>6</v>
      </c>
      <c r="Y3" s="254" t="s">
        <v>7</v>
      </c>
      <c r="Z3" s="209"/>
      <c r="AA3" s="210"/>
      <c r="AB3" s="114"/>
    </row>
    <row r="4" spans="1:35" ht="27" customHeight="1" thickBot="1">
      <c r="A4" s="255"/>
      <c r="B4" s="255"/>
      <c r="C4" s="255"/>
      <c r="D4" s="255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Sun</v>
      </c>
      <c r="J4" s="127" t="str">
        <f t="shared" si="1"/>
        <v>Mon</v>
      </c>
      <c r="K4" s="127" t="str">
        <f t="shared" si="1"/>
        <v>Tue</v>
      </c>
      <c r="L4" s="222" t="str">
        <f t="shared" si="1"/>
        <v>Wed</v>
      </c>
      <c r="M4" s="222" t="str">
        <f t="shared" si="1"/>
        <v>Thu</v>
      </c>
      <c r="N4" s="221" t="str">
        <f t="shared" si="1"/>
        <v>Fri</v>
      </c>
      <c r="O4" s="221" t="str">
        <f t="shared" si="1"/>
        <v>Sat</v>
      </c>
      <c r="P4" s="222" t="str">
        <f t="shared" si="1"/>
        <v>Sun</v>
      </c>
      <c r="Q4" s="222" t="str">
        <f t="shared" si="1"/>
        <v>Mon</v>
      </c>
      <c r="R4" s="222" t="str">
        <f t="shared" si="1"/>
        <v>Tue</v>
      </c>
      <c r="S4" s="222" t="str">
        <f t="shared" si="1"/>
        <v>Wed</v>
      </c>
      <c r="T4" s="222" t="str">
        <f t="shared" si="1"/>
        <v>Thu</v>
      </c>
      <c r="U4" s="222" t="str">
        <f t="shared" si="1"/>
        <v>Fri</v>
      </c>
      <c r="V4" s="222" t="str">
        <f t="shared" si="1"/>
        <v>Sat</v>
      </c>
      <c r="W4" s="222" t="str">
        <f t="shared" si="1"/>
        <v>Sun</v>
      </c>
      <c r="X4" s="255"/>
      <c r="Y4" s="255"/>
      <c r="Z4" s="209"/>
      <c r="AA4" s="240" t="s">
        <v>12</v>
      </c>
      <c r="AB4" s="238"/>
      <c r="AC4" s="130"/>
      <c r="AD4" s="130"/>
      <c r="AE4" s="130"/>
      <c r="AF4" s="130"/>
      <c r="AG4" s="130"/>
    </row>
    <row r="5" spans="1:35" ht="12.75" customHeight="1">
      <c r="A5" s="131" t="s">
        <v>40</v>
      </c>
      <c r="B5" s="132" t="s">
        <v>45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 t="shared" ref="G5:G10" si="5">SUM(I5:W5)</f>
        <v>80</v>
      </c>
      <c r="H5" s="135">
        <v>0</v>
      </c>
      <c r="I5" s="245"/>
      <c r="J5" s="183">
        <v>8</v>
      </c>
      <c r="K5" s="183">
        <v>8</v>
      </c>
      <c r="L5" s="183">
        <v>8</v>
      </c>
      <c r="M5" s="183">
        <v>8</v>
      </c>
      <c r="N5" s="183">
        <v>8</v>
      </c>
      <c r="O5" s="245"/>
      <c r="P5" s="245"/>
      <c r="Q5" s="183">
        <v>8</v>
      </c>
      <c r="R5" s="183">
        <v>8</v>
      </c>
      <c r="S5" s="183">
        <v>8</v>
      </c>
      <c r="T5" s="183">
        <v>8</v>
      </c>
      <c r="U5" s="183">
        <v>8</v>
      </c>
      <c r="V5" s="245"/>
      <c r="W5" s="245"/>
      <c r="X5" s="134">
        <f>Y5-COUNTA(I5:W5)</f>
        <v>0</v>
      </c>
      <c r="Y5" s="136">
        <v>10</v>
      </c>
      <c r="Z5" s="209"/>
      <c r="AA5" s="239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41</v>
      </c>
      <c r="B6" s="132" t="s">
        <v>45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80</v>
      </c>
      <c r="G6" s="134">
        <f t="shared" si="5"/>
        <v>80</v>
      </c>
      <c r="H6" s="135">
        <v>0</v>
      </c>
      <c r="I6" s="245"/>
      <c r="J6" s="183">
        <v>8</v>
      </c>
      <c r="K6" s="183">
        <v>8</v>
      </c>
      <c r="L6" s="183">
        <v>8</v>
      </c>
      <c r="M6" s="183">
        <v>8</v>
      </c>
      <c r="N6" s="183">
        <v>8</v>
      </c>
      <c r="O6" s="245"/>
      <c r="P6" s="245"/>
      <c r="Q6" s="183">
        <v>8</v>
      </c>
      <c r="R6" s="183">
        <v>8</v>
      </c>
      <c r="S6" s="183">
        <v>8</v>
      </c>
      <c r="T6" s="183">
        <v>8</v>
      </c>
      <c r="U6" s="183">
        <v>8</v>
      </c>
      <c r="V6" s="245"/>
      <c r="W6" s="245"/>
      <c r="X6" s="134">
        <f t="shared" ref="X6:X14" si="6">Y6-COUNTA(I6:W6)</f>
        <v>0</v>
      </c>
      <c r="Y6" s="136">
        <v>10</v>
      </c>
      <c r="Z6" s="209"/>
      <c r="AA6" s="237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42</v>
      </c>
      <c r="B7" s="132" t="s">
        <v>45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80</v>
      </c>
      <c r="G7" s="134">
        <f t="shared" si="5"/>
        <v>80</v>
      </c>
      <c r="H7" s="135">
        <v>0</v>
      </c>
      <c r="I7" s="245"/>
      <c r="J7" s="183">
        <v>8</v>
      </c>
      <c r="K7" s="183">
        <v>8</v>
      </c>
      <c r="L7" s="183">
        <v>8</v>
      </c>
      <c r="M7" s="183">
        <v>8</v>
      </c>
      <c r="N7" s="183">
        <v>8</v>
      </c>
      <c r="O7" s="245"/>
      <c r="P7" s="245"/>
      <c r="Q7" s="183">
        <v>8</v>
      </c>
      <c r="R7" s="183">
        <v>8</v>
      </c>
      <c r="S7" s="183">
        <v>8</v>
      </c>
      <c r="T7" s="183">
        <v>8</v>
      </c>
      <c r="U7" s="183">
        <v>8</v>
      </c>
      <c r="V7" s="245"/>
      <c r="W7" s="245"/>
      <c r="X7" s="134">
        <f t="shared" si="6"/>
        <v>0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43</v>
      </c>
      <c r="B8" s="132" t="s">
        <v>45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245"/>
      <c r="J8" s="183">
        <v>8</v>
      </c>
      <c r="K8" s="243">
        <v>8</v>
      </c>
      <c r="L8" s="243">
        <v>8</v>
      </c>
      <c r="M8" s="183">
        <v>8</v>
      </c>
      <c r="N8" s="243">
        <v>8</v>
      </c>
      <c r="O8" s="245"/>
      <c r="P8" s="245"/>
      <c r="Q8" s="183">
        <v>8</v>
      </c>
      <c r="R8" s="183">
        <v>8</v>
      </c>
      <c r="S8" s="183">
        <v>8</v>
      </c>
      <c r="T8" s="183">
        <v>8</v>
      </c>
      <c r="U8" s="183">
        <v>8</v>
      </c>
      <c r="V8" s="245"/>
      <c r="W8" s="245"/>
      <c r="X8" s="134">
        <f t="shared" si="6"/>
        <v>0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44</v>
      </c>
      <c r="B9" s="132" t="s">
        <v>45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80</v>
      </c>
      <c r="G9" s="134">
        <f t="shared" si="5"/>
        <v>80</v>
      </c>
      <c r="H9" s="135">
        <v>0</v>
      </c>
      <c r="I9" s="245"/>
      <c r="J9" s="241">
        <v>8</v>
      </c>
      <c r="K9" s="183">
        <v>8</v>
      </c>
      <c r="L9" s="183">
        <v>8</v>
      </c>
      <c r="M9" s="183">
        <v>8</v>
      </c>
      <c r="N9" s="183">
        <v>8</v>
      </c>
      <c r="O9" s="246"/>
      <c r="P9" s="245"/>
      <c r="Q9" s="183">
        <v>8</v>
      </c>
      <c r="R9" s="183">
        <v>8</v>
      </c>
      <c r="S9" s="183">
        <v>8</v>
      </c>
      <c r="T9" s="183">
        <v>8</v>
      </c>
      <c r="U9" s="183">
        <v>8</v>
      </c>
      <c r="V9" s="245"/>
      <c r="W9" s="245"/>
      <c r="X9" s="134">
        <f t="shared" si="6"/>
        <v>0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44</v>
      </c>
      <c r="B10" s="132" t="s">
        <v>45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80</v>
      </c>
      <c r="G10" s="134">
        <f t="shared" si="5"/>
        <v>80</v>
      </c>
      <c r="H10" s="135">
        <v>0</v>
      </c>
      <c r="I10" s="245"/>
      <c r="J10" s="241">
        <v>8</v>
      </c>
      <c r="K10" s="241">
        <v>8</v>
      </c>
      <c r="L10" s="241">
        <v>8</v>
      </c>
      <c r="M10" s="241">
        <v>8</v>
      </c>
      <c r="N10" s="241">
        <v>8</v>
      </c>
      <c r="O10" s="245"/>
      <c r="P10" s="245"/>
      <c r="Q10" s="241">
        <v>8</v>
      </c>
      <c r="R10" s="241">
        <v>8</v>
      </c>
      <c r="S10" s="241">
        <v>8</v>
      </c>
      <c r="T10" s="241">
        <v>8</v>
      </c>
      <c r="U10" s="241">
        <v>8</v>
      </c>
      <c r="V10" s="245"/>
      <c r="W10" s="245"/>
      <c r="X10" s="134">
        <f t="shared" si="6"/>
        <v>0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480</v>
      </c>
      <c r="G15" s="224">
        <f t="shared" si="8"/>
        <v>480</v>
      </c>
      <c r="H15" s="224">
        <f t="shared" si="8"/>
        <v>0</v>
      </c>
      <c r="I15" s="224">
        <f t="shared" si="8"/>
        <v>0</v>
      </c>
      <c r="J15" s="224">
        <f t="shared" si="8"/>
        <v>48</v>
      </c>
      <c r="K15" s="224">
        <f t="shared" si="8"/>
        <v>48</v>
      </c>
      <c r="L15" s="224">
        <f t="shared" si="8"/>
        <v>48</v>
      </c>
      <c r="M15" s="224">
        <f t="shared" si="8"/>
        <v>48</v>
      </c>
      <c r="N15" s="224">
        <f t="shared" si="8"/>
        <v>48</v>
      </c>
      <c r="O15" s="224">
        <f t="shared" si="8"/>
        <v>0</v>
      </c>
      <c r="P15" s="224">
        <f t="shared" si="8"/>
        <v>0</v>
      </c>
      <c r="Q15" s="224">
        <f t="shared" si="8"/>
        <v>48</v>
      </c>
      <c r="R15" s="224">
        <f t="shared" si="8"/>
        <v>48</v>
      </c>
      <c r="S15" s="224">
        <f t="shared" si="8"/>
        <v>48</v>
      </c>
      <c r="T15" s="224">
        <f t="shared" si="8"/>
        <v>48</v>
      </c>
      <c r="U15" s="224">
        <f t="shared" si="8"/>
        <v>48</v>
      </c>
      <c r="V15" s="224">
        <f t="shared" si="8"/>
        <v>0</v>
      </c>
      <c r="W15" s="224">
        <f t="shared" si="8"/>
        <v>0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54" t="s">
        <v>1</v>
      </c>
      <c r="B18" s="254" t="s">
        <v>2</v>
      </c>
      <c r="C18" s="254" t="s">
        <v>3</v>
      </c>
      <c r="D18" s="254" t="s">
        <v>4</v>
      </c>
      <c r="E18" s="259" t="s">
        <v>5</v>
      </c>
      <c r="F18" s="255"/>
      <c r="G18" s="255"/>
      <c r="H18" s="255"/>
      <c r="I18" s="141">
        <f>W3+1</f>
        <v>46097</v>
      </c>
      <c r="J18" s="141">
        <f t="shared" ref="J18:U18" si="9">I18+1</f>
        <v>46098</v>
      </c>
      <c r="K18" s="141">
        <f t="shared" si="9"/>
        <v>46099</v>
      </c>
      <c r="L18" s="141">
        <f t="shared" si="9"/>
        <v>46100</v>
      </c>
      <c r="M18" s="141">
        <f t="shared" si="9"/>
        <v>46101</v>
      </c>
      <c r="N18" s="141">
        <f t="shared" si="9"/>
        <v>46102</v>
      </c>
      <c r="O18" s="141">
        <f t="shared" si="9"/>
        <v>46103</v>
      </c>
      <c r="P18" s="141">
        <f t="shared" si="9"/>
        <v>46104</v>
      </c>
      <c r="Q18" s="141">
        <f t="shared" si="9"/>
        <v>46105</v>
      </c>
      <c r="R18" s="141">
        <f t="shared" si="9"/>
        <v>46106</v>
      </c>
      <c r="S18" s="141">
        <f t="shared" si="9"/>
        <v>46107</v>
      </c>
      <c r="T18" s="141">
        <f t="shared" si="9"/>
        <v>46108</v>
      </c>
      <c r="U18" s="141">
        <f t="shared" si="9"/>
        <v>46109</v>
      </c>
      <c r="V18" s="141">
        <f t="shared" ref="V18" si="10">U18+1</f>
        <v>46110</v>
      </c>
      <c r="W18" s="141">
        <f t="shared" ref="W18" si="11">V18+1</f>
        <v>46111</v>
      </c>
      <c r="X18" s="141">
        <f t="shared" ref="X18" si="12">W18+1</f>
        <v>46112</v>
      </c>
      <c r="Y18" s="254" t="s">
        <v>6</v>
      </c>
      <c r="Z18" s="254" t="s">
        <v>7</v>
      </c>
      <c r="AA18" s="209"/>
      <c r="AB18" s="114"/>
    </row>
    <row r="19" spans="1:29" ht="26.25" customHeight="1">
      <c r="A19" s="255"/>
      <c r="B19" s="255"/>
      <c r="C19" s="255"/>
      <c r="D19" s="255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U19" si="13">IF(I18="","",TEXT(WEEKDAY(I18), "ddd"))</f>
        <v>Mon</v>
      </c>
      <c r="J19" s="222" t="str">
        <f t="shared" si="13"/>
        <v>Tue</v>
      </c>
      <c r="K19" s="222" t="str">
        <f t="shared" si="13"/>
        <v>Wed</v>
      </c>
      <c r="L19" s="222" t="str">
        <f t="shared" si="13"/>
        <v>Thu</v>
      </c>
      <c r="M19" s="222" t="str">
        <f t="shared" si="13"/>
        <v>Fri</v>
      </c>
      <c r="N19" s="222" t="str">
        <f t="shared" si="13"/>
        <v>Sat</v>
      </c>
      <c r="O19" s="222" t="str">
        <f t="shared" si="13"/>
        <v>Sun</v>
      </c>
      <c r="P19" s="127" t="str">
        <f t="shared" si="13"/>
        <v>Mon</v>
      </c>
      <c r="Q19" s="127" t="str">
        <f t="shared" si="13"/>
        <v>Tue</v>
      </c>
      <c r="R19" s="222" t="str">
        <f t="shared" si="13"/>
        <v>Wed</v>
      </c>
      <c r="S19" s="222" t="str">
        <f t="shared" si="13"/>
        <v>Thu</v>
      </c>
      <c r="T19" s="222" t="str">
        <f t="shared" si="13"/>
        <v>Fri</v>
      </c>
      <c r="U19" s="222" t="str">
        <f t="shared" si="13"/>
        <v>Sat</v>
      </c>
      <c r="V19" s="222" t="str">
        <f t="shared" ref="V19:X19" si="14">IF(V18="","",TEXT(WEEKDAY(V18), "ddd"))</f>
        <v>Sun</v>
      </c>
      <c r="W19" s="222" t="str">
        <f t="shared" si="14"/>
        <v>Mon</v>
      </c>
      <c r="X19" s="222" t="str">
        <f t="shared" si="14"/>
        <v>Tue</v>
      </c>
      <c r="Y19" s="255"/>
      <c r="Z19" s="255"/>
      <c r="AA19" s="209"/>
      <c r="AB19" s="114"/>
    </row>
    <row r="20" spans="1:29" ht="12.75" customHeight="1">
      <c r="A20" s="131" t="s">
        <v>40</v>
      </c>
      <c r="B20" s="132" t="s">
        <v>45</v>
      </c>
      <c r="C20" s="133">
        <v>43437</v>
      </c>
      <c r="D20" s="134">
        <f t="shared" ref="D20:D25" si="15">E20</f>
        <v>96</v>
      </c>
      <c r="E20" s="134">
        <f t="shared" ref="E20:E25" si="16">Z20*8</f>
        <v>96</v>
      </c>
      <c r="F20" s="134">
        <f t="shared" ref="F20:F25" si="17">G20+H20</f>
        <v>96</v>
      </c>
      <c r="G20" s="134">
        <f t="shared" ref="G20:G25" si="18">SUM(I20:X20)</f>
        <v>96</v>
      </c>
      <c r="H20" s="135">
        <v>0</v>
      </c>
      <c r="I20" s="180">
        <v>8</v>
      </c>
      <c r="J20" s="183">
        <v>8</v>
      </c>
      <c r="K20" s="180">
        <v>8</v>
      </c>
      <c r="L20" s="180">
        <v>8</v>
      </c>
      <c r="M20" s="180">
        <v>8</v>
      </c>
      <c r="N20" s="247"/>
      <c r="O20" s="247"/>
      <c r="P20" s="180">
        <v>8</v>
      </c>
      <c r="Q20" s="183">
        <v>8</v>
      </c>
      <c r="R20" s="180">
        <v>8</v>
      </c>
      <c r="S20" s="183">
        <v>8</v>
      </c>
      <c r="T20" s="180">
        <v>8</v>
      </c>
      <c r="U20" s="247"/>
      <c r="V20" s="245"/>
      <c r="W20" s="183">
        <v>8</v>
      </c>
      <c r="X20" s="180">
        <v>8</v>
      </c>
      <c r="Y20" s="134">
        <f t="shared" ref="Y20:Y25" si="19">Z20-COUNTA(I20:X20)</f>
        <v>0</v>
      </c>
      <c r="Z20" s="136">
        <v>12</v>
      </c>
      <c r="AA20" s="209"/>
      <c r="AB20" s="114"/>
    </row>
    <row r="21" spans="1:29" ht="12.75" customHeight="1">
      <c r="A21" s="131" t="s">
        <v>41</v>
      </c>
      <c r="B21" s="132" t="s">
        <v>45</v>
      </c>
      <c r="C21" s="133">
        <v>45028</v>
      </c>
      <c r="D21" s="134">
        <f t="shared" si="15"/>
        <v>96</v>
      </c>
      <c r="E21" s="134">
        <f t="shared" si="16"/>
        <v>96</v>
      </c>
      <c r="F21" s="134">
        <f t="shared" si="17"/>
        <v>88</v>
      </c>
      <c r="G21" s="134">
        <f t="shared" si="18"/>
        <v>88</v>
      </c>
      <c r="H21" s="135">
        <v>0</v>
      </c>
      <c r="I21" s="180">
        <v>8</v>
      </c>
      <c r="J21" s="180">
        <v>8</v>
      </c>
      <c r="K21" s="180">
        <v>8</v>
      </c>
      <c r="L21" s="180">
        <v>8</v>
      </c>
      <c r="M21" s="180">
        <v>8</v>
      </c>
      <c r="N21" s="247"/>
      <c r="O21" s="245"/>
      <c r="P21" s="186"/>
      <c r="Q21" s="180">
        <v>8</v>
      </c>
      <c r="R21" s="183">
        <v>8</v>
      </c>
      <c r="S21" s="180">
        <v>8</v>
      </c>
      <c r="T21" s="180">
        <v>8</v>
      </c>
      <c r="U21" s="247"/>
      <c r="V21" s="245"/>
      <c r="W21" s="180">
        <v>8</v>
      </c>
      <c r="X21" s="180">
        <v>8</v>
      </c>
      <c r="Y21" s="134">
        <f t="shared" si="19"/>
        <v>1</v>
      </c>
      <c r="Z21" s="136">
        <v>12</v>
      </c>
      <c r="AA21" s="209"/>
      <c r="AB21" s="114"/>
    </row>
    <row r="22" spans="1:29" ht="12.75" customHeight="1">
      <c r="A22" s="131" t="s">
        <v>42</v>
      </c>
      <c r="B22" s="132" t="s">
        <v>45</v>
      </c>
      <c r="C22" s="133">
        <v>43395</v>
      </c>
      <c r="D22" s="134">
        <f t="shared" si="15"/>
        <v>96</v>
      </c>
      <c r="E22" s="134">
        <f t="shared" si="16"/>
        <v>96</v>
      </c>
      <c r="F22" s="134">
        <f t="shared" si="17"/>
        <v>96</v>
      </c>
      <c r="G22" s="134">
        <f t="shared" si="18"/>
        <v>96</v>
      </c>
      <c r="H22" s="135">
        <v>0</v>
      </c>
      <c r="I22" s="180">
        <v>8</v>
      </c>
      <c r="J22" s="180">
        <v>8</v>
      </c>
      <c r="K22" s="180">
        <v>8</v>
      </c>
      <c r="L22" s="180">
        <v>8</v>
      </c>
      <c r="M22" s="180">
        <v>8</v>
      </c>
      <c r="N22" s="247"/>
      <c r="O22" s="247"/>
      <c r="P22" s="180">
        <v>8</v>
      </c>
      <c r="Q22" s="180">
        <v>8</v>
      </c>
      <c r="R22" s="180">
        <v>8</v>
      </c>
      <c r="S22" s="180">
        <v>8</v>
      </c>
      <c r="T22" s="180">
        <v>8</v>
      </c>
      <c r="U22" s="247"/>
      <c r="V22" s="247"/>
      <c r="W22" s="180">
        <v>8</v>
      </c>
      <c r="X22" s="180">
        <v>8</v>
      </c>
      <c r="Y22" s="134">
        <f t="shared" si="19"/>
        <v>0</v>
      </c>
      <c r="Z22" s="136">
        <v>12</v>
      </c>
      <c r="AA22" s="209"/>
      <c r="AB22" s="114"/>
    </row>
    <row r="23" spans="1:29" ht="12.75" customHeight="1">
      <c r="A23" s="131" t="s">
        <v>43</v>
      </c>
      <c r="B23" s="132" t="s">
        <v>45</v>
      </c>
      <c r="C23" s="138">
        <v>43741</v>
      </c>
      <c r="D23" s="134">
        <f t="shared" si="15"/>
        <v>96</v>
      </c>
      <c r="E23" s="134">
        <f t="shared" si="16"/>
        <v>96</v>
      </c>
      <c r="F23" s="134">
        <f t="shared" si="17"/>
        <v>88</v>
      </c>
      <c r="G23" s="134">
        <f t="shared" si="18"/>
        <v>88</v>
      </c>
      <c r="H23" s="135">
        <v>0</v>
      </c>
      <c r="I23" s="180">
        <v>8</v>
      </c>
      <c r="J23" s="180">
        <v>8</v>
      </c>
      <c r="K23" s="180">
        <v>8</v>
      </c>
      <c r="L23" s="180">
        <v>8</v>
      </c>
      <c r="M23" s="180">
        <v>8</v>
      </c>
      <c r="N23" s="247"/>
      <c r="O23" s="245"/>
      <c r="P23" s="183">
        <v>8</v>
      </c>
      <c r="Q23" s="180">
        <v>8</v>
      </c>
      <c r="R23" s="183">
        <v>8</v>
      </c>
      <c r="S23" s="180">
        <v>8</v>
      </c>
      <c r="T23" s="186"/>
      <c r="U23" s="247"/>
      <c r="V23" s="245"/>
      <c r="W23" s="183">
        <v>8</v>
      </c>
      <c r="X23" s="180">
        <v>8</v>
      </c>
      <c r="Y23" s="134">
        <f t="shared" si="19"/>
        <v>1</v>
      </c>
      <c r="Z23" s="136">
        <v>12</v>
      </c>
      <c r="AA23" s="209"/>
      <c r="AB23" s="114"/>
    </row>
    <row r="24" spans="1:29" ht="12.75" customHeight="1">
      <c r="A24" s="139" t="s">
        <v>44</v>
      </c>
      <c r="B24" s="132" t="s">
        <v>45</v>
      </c>
      <c r="C24" s="138">
        <v>43731</v>
      </c>
      <c r="D24" s="134">
        <f t="shared" si="15"/>
        <v>96</v>
      </c>
      <c r="E24" s="134">
        <f t="shared" si="16"/>
        <v>96</v>
      </c>
      <c r="F24" s="134">
        <f t="shared" si="17"/>
        <v>88</v>
      </c>
      <c r="G24" s="134">
        <f t="shared" si="18"/>
        <v>88</v>
      </c>
      <c r="H24" s="135">
        <v>0</v>
      </c>
      <c r="I24" s="180">
        <v>8</v>
      </c>
      <c r="J24" s="180">
        <v>8</v>
      </c>
      <c r="K24" s="180">
        <v>8</v>
      </c>
      <c r="L24" s="237"/>
      <c r="M24" s="180">
        <v>8</v>
      </c>
      <c r="N24" s="247"/>
      <c r="O24" s="247"/>
      <c r="P24" s="183">
        <v>8</v>
      </c>
      <c r="Q24" s="180">
        <v>8</v>
      </c>
      <c r="R24" s="180">
        <v>8</v>
      </c>
      <c r="S24" s="180">
        <v>8</v>
      </c>
      <c r="T24" s="180">
        <v>8</v>
      </c>
      <c r="U24" s="247"/>
      <c r="V24" s="247"/>
      <c r="W24" s="180">
        <v>8</v>
      </c>
      <c r="X24" s="180">
        <v>8</v>
      </c>
      <c r="Y24" s="134">
        <f t="shared" si="19"/>
        <v>1</v>
      </c>
      <c r="Z24" s="136">
        <v>12</v>
      </c>
      <c r="AA24" s="209"/>
      <c r="AB24" s="114"/>
    </row>
    <row r="25" spans="1:29" ht="12.75" customHeight="1">
      <c r="A25" s="139" t="s">
        <v>44</v>
      </c>
      <c r="B25" s="132" t="s">
        <v>45</v>
      </c>
      <c r="C25" s="138">
        <v>45628</v>
      </c>
      <c r="D25" s="134">
        <f t="shared" si="15"/>
        <v>96</v>
      </c>
      <c r="E25" s="134">
        <f t="shared" si="16"/>
        <v>96</v>
      </c>
      <c r="F25" s="134">
        <f t="shared" si="17"/>
        <v>72</v>
      </c>
      <c r="G25" s="134">
        <f t="shared" si="18"/>
        <v>72</v>
      </c>
      <c r="H25" s="135">
        <v>0</v>
      </c>
      <c r="I25" s="241">
        <v>8</v>
      </c>
      <c r="J25" s="241">
        <v>8</v>
      </c>
      <c r="K25" s="241">
        <v>8</v>
      </c>
      <c r="L25" s="237"/>
      <c r="M25" s="237"/>
      <c r="N25" s="245"/>
      <c r="O25" s="245"/>
      <c r="P25" s="241">
        <v>8</v>
      </c>
      <c r="Q25" s="241">
        <v>8</v>
      </c>
      <c r="R25" s="237"/>
      <c r="S25" s="241">
        <v>8</v>
      </c>
      <c r="T25" s="241">
        <v>8</v>
      </c>
      <c r="U25" s="245"/>
      <c r="V25" s="245"/>
      <c r="W25" s="241">
        <v>8</v>
      </c>
      <c r="X25" s="241">
        <v>8</v>
      </c>
      <c r="Y25" s="134">
        <f t="shared" si="19"/>
        <v>3</v>
      </c>
      <c r="Z25" s="136">
        <v>12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20">SUM(D20:D29)</f>
        <v>576</v>
      </c>
      <c r="E30" s="224">
        <f t="shared" si="20"/>
        <v>576</v>
      </c>
      <c r="F30" s="224">
        <f t="shared" si="20"/>
        <v>528</v>
      </c>
      <c r="G30" s="224">
        <f t="shared" si="20"/>
        <v>528</v>
      </c>
      <c r="H30" s="224">
        <f t="shared" si="20"/>
        <v>0</v>
      </c>
      <c r="I30" s="224">
        <f t="shared" si="20"/>
        <v>48</v>
      </c>
      <c r="J30" s="224">
        <f t="shared" si="20"/>
        <v>48</v>
      </c>
      <c r="K30" s="224">
        <f t="shared" si="20"/>
        <v>48</v>
      </c>
      <c r="L30" s="224">
        <f t="shared" si="20"/>
        <v>32</v>
      </c>
      <c r="M30" s="224">
        <f t="shared" si="20"/>
        <v>40</v>
      </c>
      <c r="N30" s="224">
        <f t="shared" si="20"/>
        <v>0</v>
      </c>
      <c r="O30" s="224">
        <f t="shared" si="20"/>
        <v>0</v>
      </c>
      <c r="P30" s="224">
        <f t="shared" si="20"/>
        <v>40</v>
      </c>
      <c r="Q30" s="224">
        <f t="shared" si="20"/>
        <v>48</v>
      </c>
      <c r="R30" s="224">
        <f t="shared" si="20"/>
        <v>40</v>
      </c>
      <c r="S30" s="224">
        <f t="shared" si="20"/>
        <v>48</v>
      </c>
      <c r="T30" s="224">
        <f t="shared" si="20"/>
        <v>40</v>
      </c>
      <c r="U30" s="224">
        <f t="shared" si="20"/>
        <v>0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 thickBo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248" t="s">
        <v>25</v>
      </c>
      <c r="E33" s="248" t="s">
        <v>38</v>
      </c>
      <c r="F33" s="248" t="s">
        <v>39</v>
      </c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31" t="s">
        <v>40</v>
      </c>
      <c r="B34" s="153">
        <f>F5+F20</f>
        <v>176</v>
      </c>
      <c r="C34" s="154">
        <f t="shared" ref="C34:C39" si="21">E5+E20</f>
        <v>176</v>
      </c>
      <c r="D34" s="249">
        <f t="shared" ref="D34:D39" si="22">B34</f>
        <v>176</v>
      </c>
      <c r="E34" s="252">
        <v>150</v>
      </c>
      <c r="F34" s="252">
        <v>98</v>
      </c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31" t="s">
        <v>41</v>
      </c>
      <c r="B35" s="153">
        <f>F6+F21</f>
        <v>168</v>
      </c>
      <c r="C35" s="154">
        <f t="shared" si="21"/>
        <v>176</v>
      </c>
      <c r="D35" s="249">
        <f t="shared" si="22"/>
        <v>168</v>
      </c>
      <c r="E35" s="252">
        <v>100</v>
      </c>
      <c r="F35" s="252">
        <v>65</v>
      </c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31" t="s">
        <v>42</v>
      </c>
      <c r="B36" s="153">
        <f>F7+F22</f>
        <v>176</v>
      </c>
      <c r="C36" s="154">
        <f t="shared" si="21"/>
        <v>176</v>
      </c>
      <c r="D36" s="249">
        <f t="shared" si="22"/>
        <v>176</v>
      </c>
      <c r="E36" s="252">
        <v>100</v>
      </c>
      <c r="F36" s="252">
        <v>65</v>
      </c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31" t="s">
        <v>43</v>
      </c>
      <c r="B37" s="153">
        <f>F8+F23</f>
        <v>168</v>
      </c>
      <c r="C37" s="154">
        <f t="shared" si="21"/>
        <v>176</v>
      </c>
      <c r="D37" s="249">
        <f t="shared" si="22"/>
        <v>168</v>
      </c>
      <c r="E37" s="252">
        <v>200</v>
      </c>
      <c r="F37" s="252">
        <v>130</v>
      </c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139" t="s">
        <v>44</v>
      </c>
      <c r="B38" s="216">
        <f>F9+F24</f>
        <v>168</v>
      </c>
      <c r="C38" s="217">
        <f t="shared" si="21"/>
        <v>176</v>
      </c>
      <c r="D38" s="250">
        <f t="shared" si="22"/>
        <v>168</v>
      </c>
      <c r="E38" s="252">
        <v>70</v>
      </c>
      <c r="F38" s="253">
        <v>45</v>
      </c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 thickBot="1">
      <c r="A39" s="139" t="s">
        <v>44</v>
      </c>
      <c r="B39" s="158">
        <f>G10+G25</f>
        <v>152</v>
      </c>
      <c r="C39" s="159">
        <f t="shared" si="21"/>
        <v>176</v>
      </c>
      <c r="D39" s="251">
        <f t="shared" si="22"/>
        <v>152</v>
      </c>
      <c r="E39" s="252">
        <v>90</v>
      </c>
      <c r="F39" s="253">
        <v>58</v>
      </c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23">B40</f>
        <v>0</v>
      </c>
      <c r="D40" s="214">
        <f t="shared" si="23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23"/>
        <v>0</v>
      </c>
      <c r="D41" s="155">
        <f t="shared" si="23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23"/>
        <v>0</v>
      </c>
      <c r="D42" s="155">
        <f t="shared" si="23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23"/>
        <v>0</v>
      </c>
      <c r="D43" s="160">
        <f t="shared" si="23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 thickBo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6" t="s">
        <v>0</v>
      </c>
      <c r="B46" s="257"/>
      <c r="C46" s="258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10</v>
      </c>
      <c r="C48" s="171">
        <f>B48*8</f>
        <v>80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4">B48-B49</f>
        <v>10</v>
      </c>
      <c r="C50" s="173">
        <f t="shared" si="24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6" t="s">
        <v>22</v>
      </c>
      <c r="B53" s="257"/>
      <c r="C53" s="258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12</v>
      </c>
      <c r="C55" s="171">
        <f t="shared" ref="C55:C56" si="25">B55*8</f>
        <v>96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5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6">B55-B56</f>
        <v>12</v>
      </c>
      <c r="C57" s="173">
        <f t="shared" si="26"/>
        <v>96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176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4"/>
    <row r="261" s="115" customFormat="1" ht="14"/>
    <row r="262" s="115" customFormat="1" ht="14"/>
    <row r="263" s="115" customFormat="1" ht="14"/>
    <row r="264" s="115" customFormat="1" ht="14"/>
    <row r="265" s="115" customFormat="1" ht="14"/>
    <row r="266" s="115" customFormat="1" ht="14"/>
    <row r="267" s="115" customFormat="1" ht="14"/>
    <row r="268" s="115" customFormat="1" ht="14"/>
    <row r="269" s="115" customFormat="1" ht="14"/>
    <row r="270" s="115" customFormat="1" ht="14"/>
    <row r="271" s="115" customFormat="1" ht="14"/>
    <row r="272" s="115" customFormat="1" ht="14"/>
    <row r="273" s="115" customFormat="1" ht="14"/>
    <row r="274" s="115" customFormat="1" ht="14"/>
    <row r="275" s="115" customFormat="1" ht="14"/>
    <row r="276" s="115" customFormat="1" ht="14"/>
    <row r="277" s="115" customFormat="1" ht="14"/>
    <row r="278" s="115" customFormat="1" ht="14"/>
    <row r="279" s="115" customFormat="1" ht="14"/>
    <row r="280" s="115" customFormat="1" ht="14"/>
    <row r="281" s="115" customFormat="1" ht="14"/>
    <row r="282" s="115" customFormat="1" ht="14"/>
    <row r="283" s="115" customFormat="1" ht="14"/>
    <row r="284" s="115" customFormat="1" ht="14"/>
    <row r="285" s="115" customFormat="1" ht="14"/>
    <row r="286" s="115" customFormat="1" ht="14"/>
    <row r="287" s="115" customFormat="1" ht="14"/>
    <row r="288" s="115" customFormat="1" ht="14"/>
    <row r="289" s="115" customFormat="1" ht="14"/>
    <row r="290" s="115" customFormat="1" ht="14"/>
    <row r="291" s="115" customFormat="1" ht="14"/>
    <row r="292" s="115" customFormat="1" ht="14"/>
    <row r="293" s="115" customFormat="1" ht="14"/>
    <row r="294" s="115" customFormat="1" ht="14"/>
    <row r="295" s="115" customFormat="1" ht="14"/>
    <row r="296" s="115" customFormat="1" ht="14"/>
    <row r="297" s="115" customFormat="1" ht="14"/>
    <row r="298" s="115" customFormat="1" ht="14"/>
    <row r="299" s="115" customFormat="1" ht="14"/>
    <row r="300" s="115" customFormat="1" ht="14"/>
    <row r="301" s="115" customFormat="1" ht="14"/>
    <row r="302" s="115" customFormat="1" ht="14"/>
    <row r="303" s="115" customFormat="1" ht="14"/>
    <row r="304" s="115" customFormat="1" ht="14"/>
    <row r="305" s="115" customFormat="1" ht="14"/>
    <row r="306" s="115" customFormat="1" ht="14"/>
    <row r="307" s="115" customFormat="1" ht="14"/>
    <row r="308" s="115" customFormat="1" ht="14"/>
    <row r="309" s="115" customFormat="1" ht="14"/>
    <row r="310" s="115" customFormat="1" ht="14"/>
    <row r="311" s="115" customFormat="1" ht="14"/>
    <row r="312" s="115" customFormat="1" ht="14"/>
    <row r="313" s="115" customFormat="1" ht="14"/>
    <row r="314" s="115" customFormat="1" ht="14"/>
    <row r="315" s="115" customFormat="1" ht="14"/>
    <row r="316" s="115" customFormat="1" ht="14"/>
    <row r="317" s="115" customFormat="1" ht="14"/>
    <row r="318" s="115" customFormat="1" ht="14"/>
    <row r="319" s="115" customFormat="1" ht="14"/>
    <row r="320" s="115" customFormat="1" ht="14"/>
    <row r="321" s="115" customFormat="1" ht="14"/>
    <row r="322" s="115" customFormat="1" ht="14"/>
    <row r="323" s="115" customFormat="1" ht="14"/>
    <row r="324" s="115" customFormat="1" ht="14"/>
    <row r="325" s="115" customFormat="1" ht="14"/>
    <row r="326" s="115" customFormat="1" ht="14"/>
    <row r="327" s="115" customFormat="1" ht="14"/>
    <row r="328" s="115" customFormat="1" ht="14"/>
    <row r="329" s="115" customFormat="1" ht="14"/>
    <row r="330" s="115" customFormat="1" ht="14"/>
    <row r="331" s="115" customFormat="1" ht="14"/>
    <row r="332" s="115" customFormat="1" ht="14"/>
    <row r="333" s="115" customFormat="1" ht="14"/>
    <row r="334" s="115" customFormat="1" ht="14"/>
    <row r="335" s="115" customFormat="1" ht="14"/>
    <row r="336" s="115" customFormat="1" ht="14"/>
    <row r="337" s="115" customFormat="1" ht="14"/>
    <row r="338" s="115" customFormat="1" ht="14"/>
    <row r="339" s="115" customFormat="1" ht="14"/>
    <row r="340" s="115" customFormat="1" ht="14"/>
    <row r="341" s="115" customFormat="1" ht="14"/>
    <row r="342" s="115" customFormat="1" ht="14"/>
    <row r="343" s="115" customFormat="1" ht="14"/>
    <row r="344" s="115" customFormat="1" ht="14"/>
    <row r="345" s="115" customFormat="1" ht="14"/>
    <row r="346" s="115" customFormat="1" ht="14"/>
    <row r="347" s="115" customFormat="1" ht="14"/>
    <row r="348" s="115" customFormat="1" ht="14"/>
    <row r="349" s="115" customFormat="1" ht="14"/>
    <row r="350" s="115" customFormat="1" ht="14"/>
    <row r="351" s="115" customFormat="1" ht="14"/>
    <row r="352" s="115" customFormat="1" ht="14"/>
    <row r="353" s="115" customFormat="1" ht="14"/>
    <row r="354" s="115" customFormat="1" ht="14"/>
    <row r="355" s="115" customFormat="1" ht="14"/>
    <row r="356" s="115" customFormat="1" ht="14"/>
    <row r="357" s="115" customFormat="1" ht="14"/>
    <row r="358" s="115" customFormat="1" ht="14"/>
    <row r="359" s="115" customFormat="1" ht="14"/>
    <row r="360" s="115" customFormat="1" ht="14"/>
    <row r="361" s="115" customFormat="1" ht="14"/>
    <row r="362" s="115" customFormat="1" ht="14"/>
    <row r="363" s="115" customFormat="1" ht="14"/>
    <row r="364" s="115" customFormat="1" ht="14"/>
    <row r="365" s="115" customFormat="1" ht="14"/>
    <row r="366" s="115" customFormat="1" ht="14"/>
    <row r="367" s="115" customFormat="1" ht="14"/>
    <row r="368" s="115" customFormat="1" ht="14"/>
    <row r="369" s="115" customFormat="1" ht="14"/>
    <row r="370" s="115" customFormat="1" ht="14"/>
    <row r="371" s="115" customFormat="1" ht="14"/>
    <row r="372" s="115" customFormat="1" ht="14"/>
    <row r="373" s="115" customFormat="1" ht="14"/>
    <row r="374" s="115" customFormat="1" ht="14"/>
    <row r="375" s="115" customFormat="1" ht="14"/>
    <row r="376" s="115" customFormat="1" ht="14"/>
    <row r="377" s="115" customFormat="1" ht="14"/>
    <row r="378" s="115" customFormat="1" ht="14"/>
    <row r="379" s="115" customFormat="1" ht="14"/>
    <row r="380" s="115" customFormat="1" ht="14"/>
    <row r="381" s="115" customFormat="1" ht="14"/>
    <row r="382" s="115" customFormat="1" ht="14"/>
    <row r="383" s="115" customFormat="1" ht="14"/>
    <row r="384" s="115" customFormat="1" ht="14"/>
    <row r="385" s="115" customFormat="1" ht="14"/>
    <row r="386" s="115" customFormat="1" ht="14"/>
    <row r="387" s="115" customFormat="1" ht="14"/>
    <row r="388" s="115" customFormat="1" ht="14"/>
    <row r="389" s="115" customFormat="1" ht="14"/>
    <row r="390" s="115" customFormat="1" ht="14"/>
    <row r="391" s="115" customFormat="1" ht="14"/>
    <row r="392" s="115" customFormat="1" ht="14"/>
    <row r="393" s="115" customFormat="1" ht="14"/>
    <row r="394" s="115" customFormat="1" ht="14"/>
    <row r="395" s="115" customFormat="1" ht="14"/>
    <row r="396" s="115" customFormat="1" ht="14"/>
    <row r="397" s="115" customFormat="1" ht="14"/>
    <row r="398" s="115" customFormat="1" ht="14"/>
    <row r="399" s="115" customFormat="1" ht="14"/>
    <row r="400" s="115" customFormat="1" ht="14"/>
    <row r="401" s="115" customFormat="1" ht="14"/>
    <row r="402" s="115" customFormat="1" ht="14"/>
    <row r="403" s="115" customFormat="1" ht="14"/>
    <row r="404" s="115" customFormat="1" ht="14"/>
    <row r="405" s="115" customFormat="1" ht="14"/>
    <row r="406" s="115" customFormat="1" ht="14"/>
    <row r="407" s="115" customFormat="1" ht="14"/>
    <row r="408" s="115" customFormat="1" ht="14"/>
    <row r="409" s="115" customFormat="1" ht="14"/>
    <row r="410" s="115" customFormat="1" ht="14"/>
    <row r="411" s="115" customFormat="1" ht="14"/>
    <row r="412" s="115" customFormat="1" ht="14"/>
    <row r="413" s="115" customFormat="1" ht="14"/>
    <row r="414" s="115" customFormat="1" ht="14"/>
    <row r="415" s="115" customFormat="1" ht="14"/>
    <row r="416" s="115" customFormat="1" ht="14"/>
    <row r="417" s="115" customFormat="1" ht="14"/>
    <row r="418" s="115" customFormat="1" ht="14"/>
    <row r="419" s="115" customFormat="1" ht="14"/>
    <row r="420" s="115" customFormat="1" ht="14"/>
    <row r="421" s="115" customFormat="1" ht="14"/>
    <row r="422" s="115" customFormat="1" ht="14"/>
    <row r="423" s="115" customFormat="1" ht="14"/>
    <row r="424" s="115" customFormat="1" ht="14"/>
    <row r="425" s="115" customFormat="1" ht="14"/>
    <row r="426" s="115" customFormat="1" ht="14"/>
    <row r="427" s="115" customFormat="1" ht="14"/>
    <row r="428" s="115" customFormat="1" ht="14"/>
    <row r="429" s="115" customFormat="1" ht="14"/>
    <row r="430" s="115" customFormat="1" ht="14"/>
    <row r="431" s="115" customFormat="1" ht="14"/>
    <row r="432" s="115" customFormat="1" ht="14"/>
    <row r="433" s="115" customFormat="1" ht="14"/>
    <row r="434" s="115" customFormat="1" ht="14"/>
    <row r="435" s="115" customFormat="1" ht="14"/>
    <row r="436" s="115" customFormat="1" ht="14"/>
    <row r="437" s="115" customFormat="1" ht="14"/>
    <row r="438" s="115" customFormat="1" ht="14"/>
    <row r="439" s="115" customFormat="1" ht="14"/>
    <row r="440" s="115" customFormat="1" ht="14"/>
    <row r="441" s="115" customFormat="1" ht="14"/>
    <row r="442" s="115" customFormat="1" ht="14"/>
    <row r="443" s="115" customFormat="1" ht="14"/>
    <row r="444" s="115" customFormat="1" ht="14"/>
    <row r="445" s="115" customFormat="1" ht="14"/>
    <row r="446" s="115" customFormat="1" ht="14"/>
    <row r="447" s="115" customFormat="1" ht="14"/>
    <row r="448" s="115" customFormat="1" ht="14"/>
    <row r="449" s="115" customFormat="1" ht="14"/>
    <row r="450" s="115" customFormat="1" ht="14"/>
    <row r="451" s="115" customFormat="1" ht="14"/>
    <row r="452" s="115" customFormat="1" ht="14"/>
    <row r="453" s="115" customFormat="1" ht="14"/>
    <row r="454" s="115" customFormat="1" ht="14"/>
    <row r="455" s="115" customFormat="1" ht="14"/>
    <row r="456" s="115" customFormat="1" ht="14"/>
    <row r="457" s="115" customFormat="1" ht="14"/>
    <row r="458" s="115" customFormat="1" ht="14"/>
    <row r="459" s="115" customFormat="1" ht="14"/>
    <row r="460" s="115" customFormat="1" ht="14"/>
    <row r="461" s="115" customFormat="1" ht="14"/>
    <row r="462" s="115" customFormat="1" ht="14"/>
    <row r="463" s="115" customFormat="1" ht="14"/>
    <row r="464" s="115" customFormat="1" ht="14"/>
    <row r="465" s="115" customFormat="1" ht="14"/>
    <row r="466" s="115" customFormat="1" ht="14"/>
    <row r="467" s="115" customFormat="1" ht="14"/>
    <row r="468" s="115" customFormat="1" ht="14"/>
    <row r="469" s="115" customFormat="1" ht="14"/>
    <row r="470" s="115" customFormat="1" ht="14"/>
    <row r="471" s="115" customFormat="1" ht="14"/>
    <row r="472" s="115" customFormat="1" ht="14"/>
    <row r="473" s="115" customFormat="1" ht="14"/>
    <row r="474" s="115" customFormat="1" ht="14"/>
    <row r="475" s="115" customFormat="1" ht="14"/>
    <row r="476" s="115" customFormat="1" ht="14"/>
    <row r="477" s="115" customFormat="1" ht="14"/>
    <row r="478" s="115" customFormat="1" ht="14"/>
    <row r="479" s="115" customFormat="1" ht="14"/>
    <row r="480" s="115" customFormat="1" ht="14"/>
    <row r="481" s="115" customFormat="1" ht="14"/>
    <row r="482" s="115" customFormat="1" ht="14"/>
    <row r="483" s="115" customFormat="1" ht="14"/>
    <row r="484" s="115" customFormat="1" ht="14"/>
    <row r="485" s="115" customFormat="1" ht="14"/>
    <row r="486" s="115" customFormat="1" ht="14"/>
    <row r="487" s="115" customFormat="1" ht="14"/>
    <row r="488" s="115" customFormat="1" ht="14"/>
    <row r="489" s="115" customFormat="1" ht="14"/>
    <row r="490" s="115" customFormat="1" ht="14"/>
    <row r="491" s="115" customFormat="1" ht="14"/>
    <row r="492" s="115" customFormat="1" ht="14"/>
    <row r="493" s="115" customFormat="1" ht="14"/>
    <row r="494" s="115" customFormat="1" ht="14"/>
    <row r="495" s="115" customFormat="1" ht="14"/>
    <row r="496" s="115" customFormat="1" ht="14"/>
    <row r="497" s="115" customFormat="1" ht="14"/>
    <row r="498" s="115" customFormat="1" ht="14"/>
    <row r="499" s="115" customFormat="1" ht="14"/>
    <row r="500" s="115" customFormat="1" ht="14"/>
    <row r="501" s="115" customFormat="1" ht="14"/>
    <row r="502" s="115" customFormat="1" ht="14"/>
    <row r="503" s="115" customFormat="1" ht="14"/>
    <row r="504" s="115" customFormat="1" ht="14"/>
    <row r="505" s="115" customFormat="1" ht="14"/>
    <row r="506" s="115" customFormat="1" ht="14"/>
    <row r="507" s="115" customFormat="1" ht="14"/>
    <row r="508" s="115" customFormat="1" ht="14"/>
    <row r="509" s="115" customFormat="1" ht="14"/>
    <row r="510" s="115" customFormat="1" ht="14"/>
    <row r="511" s="115" customFormat="1" ht="14"/>
    <row r="512" s="115" customFormat="1" ht="14"/>
    <row r="513" s="115" customFormat="1" ht="14"/>
    <row r="514" s="115" customFormat="1" ht="14"/>
    <row r="515" s="115" customFormat="1" ht="14"/>
    <row r="516" s="115" customFormat="1" ht="14"/>
    <row r="517" s="115" customFormat="1" ht="14"/>
    <row r="518" s="115" customFormat="1" ht="14"/>
    <row r="519" s="115" customFormat="1" ht="14"/>
    <row r="520" s="115" customFormat="1" ht="14"/>
    <row r="521" s="115" customFormat="1" ht="14"/>
    <row r="522" s="115" customFormat="1" ht="14"/>
    <row r="523" s="115" customFormat="1" ht="14"/>
    <row r="524" s="115" customFormat="1" ht="14"/>
    <row r="525" s="115" customFormat="1" ht="14"/>
    <row r="526" s="115" customFormat="1" ht="14"/>
    <row r="527" s="115" customFormat="1" ht="14"/>
    <row r="528" s="115" customFormat="1" ht="14"/>
    <row r="529" s="115" customFormat="1" ht="14"/>
    <row r="530" s="115" customFormat="1" ht="14"/>
    <row r="531" s="115" customFormat="1" ht="14"/>
    <row r="532" s="115" customFormat="1" ht="14"/>
    <row r="533" s="115" customFormat="1" ht="14"/>
    <row r="534" s="115" customFormat="1" ht="14"/>
    <row r="535" s="115" customFormat="1" ht="14"/>
    <row r="536" s="115" customFormat="1" ht="14"/>
    <row r="537" s="115" customFormat="1" ht="14"/>
    <row r="538" s="115" customFormat="1" ht="14"/>
    <row r="539" s="115" customFormat="1" ht="14"/>
    <row r="540" s="115" customFormat="1" ht="14"/>
    <row r="541" s="115" customFormat="1" ht="14"/>
    <row r="542" s="115" customFormat="1" ht="14"/>
    <row r="543" s="115" customFormat="1" ht="14"/>
    <row r="544" s="115" customFormat="1" ht="14"/>
    <row r="545" s="115" customFormat="1" ht="14"/>
    <row r="546" s="115" customFormat="1" ht="14"/>
    <row r="547" s="115" customFormat="1" ht="14"/>
    <row r="548" s="115" customFormat="1" ht="14"/>
    <row r="549" s="115" customFormat="1" ht="14"/>
    <row r="550" s="115" customFormat="1" ht="14"/>
    <row r="551" s="115" customFormat="1" ht="14"/>
    <row r="552" s="115" customFormat="1" ht="14"/>
    <row r="553" s="115" customFormat="1" ht="14"/>
    <row r="554" s="115" customFormat="1" ht="14"/>
    <row r="555" s="115" customFormat="1" ht="14"/>
    <row r="556" s="115" customFormat="1" ht="14"/>
    <row r="557" s="115" customFormat="1" ht="14"/>
    <row r="558" s="115" customFormat="1" ht="14"/>
    <row r="559" s="115" customFormat="1" ht="14"/>
    <row r="560" s="115" customFormat="1" ht="14"/>
    <row r="561" s="115" customFormat="1" ht="14"/>
    <row r="562" s="115" customFormat="1" ht="14"/>
    <row r="563" s="115" customFormat="1" ht="14"/>
    <row r="564" s="115" customFormat="1" ht="14"/>
    <row r="565" s="115" customFormat="1" ht="14"/>
    <row r="566" s="115" customFormat="1" ht="14"/>
    <row r="567" s="115" customFormat="1" ht="14"/>
    <row r="568" s="115" customFormat="1" ht="14"/>
    <row r="569" s="115" customFormat="1" ht="14"/>
    <row r="570" s="115" customFormat="1" ht="14"/>
    <row r="571" s="115" customFormat="1" ht="14"/>
    <row r="572" s="115" customFormat="1" ht="14"/>
    <row r="573" s="115" customFormat="1" ht="14"/>
    <row r="574" s="115" customFormat="1" ht="14"/>
    <row r="575" s="115" customFormat="1" ht="14"/>
    <row r="576" s="115" customFormat="1" ht="14"/>
    <row r="577" s="115" customFormat="1" ht="14"/>
    <row r="578" s="115" customFormat="1" ht="14"/>
    <row r="579" s="115" customFormat="1" ht="14"/>
    <row r="580" s="115" customFormat="1" ht="14"/>
    <row r="581" s="115" customFormat="1" ht="14"/>
    <row r="582" s="115" customFormat="1" ht="14"/>
    <row r="583" s="115" customFormat="1" ht="14"/>
    <row r="584" s="115" customFormat="1" ht="14"/>
    <row r="585" s="115" customFormat="1" ht="14"/>
    <row r="586" s="115" customFormat="1" ht="14"/>
    <row r="587" s="115" customFormat="1" ht="14"/>
    <row r="588" s="115" customFormat="1" ht="14"/>
    <row r="589" s="115" customFormat="1" ht="14"/>
    <row r="590" s="115" customFormat="1" ht="14"/>
    <row r="591" s="115" customFormat="1" ht="14"/>
    <row r="592" s="115" customFormat="1" ht="14"/>
    <row r="593" s="115" customFormat="1" ht="14"/>
    <row r="594" s="115" customFormat="1" ht="14"/>
    <row r="595" s="115" customFormat="1" ht="14"/>
    <row r="596" s="115" customFormat="1" ht="14"/>
    <row r="597" s="115" customFormat="1" ht="14"/>
    <row r="598" s="115" customFormat="1" ht="14"/>
    <row r="599" s="115" customFormat="1" ht="14"/>
    <row r="600" s="115" customFormat="1" ht="14"/>
    <row r="601" s="115" customFormat="1" ht="14"/>
    <row r="602" s="115" customFormat="1" ht="14"/>
    <row r="603" s="115" customFormat="1" ht="14"/>
    <row r="604" s="115" customFormat="1" ht="14"/>
    <row r="605" s="115" customFormat="1" ht="14"/>
    <row r="606" s="115" customFormat="1" ht="14"/>
    <row r="607" s="115" customFormat="1" ht="14"/>
    <row r="608" s="115" customFormat="1" ht="14"/>
    <row r="609" s="115" customFormat="1" ht="14"/>
    <row r="610" s="115" customFormat="1" ht="14"/>
    <row r="611" s="115" customFormat="1" ht="14"/>
    <row r="612" s="115" customFormat="1" ht="14"/>
    <row r="613" s="115" customFormat="1" ht="14"/>
    <row r="614" s="115" customFormat="1" ht="14"/>
    <row r="615" s="115" customFormat="1" ht="14"/>
    <row r="616" s="115" customFormat="1" ht="14"/>
    <row r="617" s="115" customFormat="1" ht="14"/>
    <row r="618" s="115" customFormat="1" ht="14"/>
    <row r="619" s="115" customFormat="1" ht="14"/>
    <row r="620" s="115" customFormat="1" ht="14"/>
    <row r="621" s="115" customFormat="1" ht="14"/>
    <row r="622" s="115" customFormat="1" ht="14"/>
    <row r="623" s="115" customFormat="1" ht="14"/>
    <row r="624" s="115" customFormat="1" ht="14"/>
    <row r="625" s="115" customFormat="1" ht="14"/>
    <row r="626" s="115" customFormat="1" ht="14"/>
    <row r="627" s="115" customFormat="1" ht="14"/>
    <row r="628" s="115" customFormat="1" ht="14"/>
    <row r="629" s="115" customFormat="1" ht="14"/>
    <row r="630" s="115" customFormat="1" ht="14"/>
    <row r="631" s="115" customFormat="1" ht="14"/>
    <row r="632" s="115" customFormat="1" ht="14"/>
    <row r="633" s="115" customFormat="1" ht="14"/>
    <row r="634" s="115" customFormat="1" ht="14"/>
    <row r="635" s="115" customFormat="1" ht="14"/>
    <row r="636" s="115" customFormat="1" ht="14"/>
    <row r="637" s="115" customFormat="1" ht="14"/>
    <row r="638" s="115" customFormat="1" ht="14"/>
    <row r="639" s="115" customFormat="1" ht="14"/>
    <row r="640" s="115" customFormat="1" ht="14"/>
    <row r="641" s="115" customFormat="1" ht="14"/>
    <row r="642" s="115" customFormat="1" ht="14"/>
    <row r="643" s="115" customFormat="1" ht="14"/>
    <row r="644" s="115" customFormat="1" ht="14"/>
    <row r="645" s="115" customFormat="1" ht="14"/>
    <row r="646" s="115" customFormat="1" ht="14"/>
    <row r="647" s="115" customFormat="1" ht="14"/>
    <row r="648" s="115" customFormat="1" ht="14"/>
    <row r="649" s="115" customFormat="1" ht="14"/>
    <row r="650" s="115" customFormat="1" ht="14"/>
    <row r="651" s="115" customFormat="1" ht="14"/>
    <row r="652" s="115" customFormat="1" ht="14"/>
    <row r="653" s="115" customFormat="1" ht="14"/>
    <row r="654" s="115" customFormat="1" ht="14"/>
    <row r="655" s="115" customFormat="1" ht="14"/>
    <row r="656" s="115" customFormat="1" ht="14"/>
    <row r="657" s="115" customFormat="1" ht="14"/>
    <row r="658" s="115" customFormat="1" ht="14"/>
    <row r="659" s="115" customFormat="1" ht="14"/>
    <row r="660" s="115" customFormat="1" ht="14"/>
    <row r="661" s="115" customFormat="1" ht="14"/>
    <row r="662" s="115" customFormat="1" ht="14"/>
    <row r="663" s="115" customFormat="1" ht="14"/>
    <row r="664" s="115" customFormat="1" ht="14"/>
    <row r="665" s="115" customFormat="1" ht="14"/>
    <row r="666" s="115" customFormat="1" ht="14"/>
    <row r="667" s="115" customFormat="1" ht="14"/>
    <row r="668" s="115" customFormat="1" ht="14"/>
    <row r="669" s="115" customFormat="1" ht="14"/>
    <row r="670" s="115" customFormat="1" ht="14"/>
    <row r="671" s="115" customFormat="1" ht="14"/>
    <row r="672" s="115" customFormat="1" ht="14"/>
    <row r="673" s="115" customFormat="1" ht="14"/>
    <row r="674" s="115" customFormat="1" ht="14"/>
    <row r="675" s="115" customFormat="1" ht="14"/>
    <row r="676" s="115" customFormat="1" ht="14"/>
    <row r="677" s="115" customFormat="1" ht="14"/>
    <row r="678" s="115" customFormat="1" ht="14"/>
    <row r="679" s="115" customFormat="1" ht="14"/>
    <row r="680" s="115" customFormat="1" ht="14"/>
    <row r="681" s="115" customFormat="1" ht="14"/>
    <row r="682" s="115" customFormat="1" ht="14"/>
    <row r="683" s="115" customFormat="1" ht="14"/>
    <row r="684" s="115" customFormat="1" ht="14"/>
    <row r="685" s="115" customFormat="1" ht="14"/>
    <row r="686" s="115" customFormat="1" ht="14"/>
    <row r="687" s="115" customFormat="1" ht="14"/>
    <row r="688" s="115" customFormat="1" ht="14"/>
    <row r="689" s="115" customFormat="1" ht="14"/>
    <row r="690" s="115" customFormat="1" ht="14"/>
    <row r="691" s="115" customFormat="1" ht="14"/>
    <row r="692" s="115" customFormat="1" ht="14"/>
    <row r="693" s="115" customFormat="1" ht="14"/>
    <row r="694" s="115" customFormat="1" ht="14"/>
    <row r="695" s="115" customFormat="1" ht="14"/>
    <row r="696" s="115" customFormat="1" ht="14"/>
    <row r="697" s="115" customFormat="1" ht="14"/>
    <row r="698" s="115" customFormat="1" ht="14"/>
    <row r="699" s="115" customFormat="1" ht="14"/>
    <row r="700" s="115" customFormat="1" ht="14"/>
    <row r="701" s="115" customFormat="1" ht="14"/>
    <row r="702" s="115" customFormat="1" ht="14"/>
    <row r="703" s="115" customFormat="1" ht="14"/>
    <row r="704" s="115" customFormat="1" ht="14"/>
    <row r="705" s="115" customFormat="1" ht="14"/>
    <row r="706" s="115" customFormat="1" ht="14"/>
    <row r="707" s="115" customFormat="1" ht="14"/>
    <row r="708" s="115" customFormat="1" ht="14"/>
    <row r="709" s="115" customFormat="1" ht="14"/>
    <row r="710" s="115" customFormat="1" ht="14"/>
    <row r="711" s="115" customFormat="1" ht="14"/>
    <row r="712" s="115" customFormat="1" ht="14"/>
    <row r="713" s="115" customFormat="1" ht="14"/>
    <row r="714" s="115" customFormat="1" ht="14"/>
    <row r="715" s="115" customFormat="1" ht="14"/>
    <row r="716" s="115" customFormat="1" ht="14"/>
    <row r="717" s="115" customFormat="1" ht="14"/>
    <row r="718" s="115" customFormat="1" ht="14"/>
    <row r="719" s="115" customFormat="1" ht="14"/>
    <row r="720" s="115" customFormat="1" ht="14"/>
    <row r="721" s="115" customFormat="1" ht="14"/>
    <row r="722" s="115" customFormat="1" ht="14"/>
    <row r="723" s="115" customFormat="1" ht="14"/>
    <row r="724" s="115" customFormat="1" ht="14"/>
    <row r="725" s="115" customFormat="1" ht="14"/>
    <row r="726" s="115" customFormat="1" ht="14"/>
    <row r="727" s="115" customFormat="1" ht="14"/>
    <row r="728" s="115" customFormat="1" ht="14"/>
    <row r="729" s="115" customFormat="1" ht="14"/>
    <row r="730" s="115" customFormat="1" ht="14"/>
    <row r="731" s="115" customFormat="1" ht="14"/>
    <row r="732" s="115" customFormat="1" ht="14"/>
    <row r="733" s="115" customFormat="1" ht="14"/>
    <row r="734" s="115" customFormat="1" ht="14"/>
    <row r="735" s="115" customFormat="1" ht="14"/>
    <row r="736" s="115" customFormat="1" ht="14"/>
    <row r="737" s="115" customFormat="1" ht="14"/>
    <row r="738" s="115" customFormat="1" ht="14"/>
    <row r="739" s="115" customFormat="1" ht="14"/>
    <row r="740" s="115" customFormat="1" ht="14"/>
    <row r="741" s="115" customFormat="1" ht="14"/>
    <row r="742" s="115" customFormat="1" ht="14"/>
    <row r="743" s="115" customFormat="1" ht="14"/>
    <row r="744" s="115" customFormat="1" ht="14"/>
    <row r="745" s="115" customFormat="1" ht="14"/>
    <row r="746" s="115" customFormat="1" ht="14"/>
    <row r="747" s="115" customFormat="1" ht="14"/>
    <row r="748" s="115" customFormat="1" ht="14"/>
    <row r="749" s="115" customFormat="1" ht="14"/>
    <row r="750" s="115" customFormat="1" ht="14"/>
    <row r="751" s="115" customFormat="1" ht="14"/>
    <row r="752" s="115" customFormat="1" ht="14"/>
    <row r="753" s="115" customFormat="1" ht="14"/>
    <row r="754" s="115" customFormat="1" ht="14"/>
    <row r="755" s="115" customFormat="1" ht="14"/>
    <row r="756" s="115" customFormat="1" ht="14"/>
    <row r="757" s="115" customFormat="1" ht="14"/>
    <row r="758" s="115" customFormat="1" ht="14"/>
    <row r="759" s="115" customFormat="1" ht="14"/>
    <row r="760" s="115" customFormat="1" ht="14"/>
    <row r="761" s="115" customFormat="1" ht="14"/>
    <row r="762" s="115" customFormat="1" ht="14"/>
    <row r="763" s="115" customFormat="1" ht="14"/>
    <row r="764" s="115" customFormat="1" ht="14"/>
    <row r="765" s="115" customFormat="1" ht="14"/>
    <row r="766" s="115" customFormat="1" ht="14"/>
    <row r="767" s="115" customFormat="1" ht="14"/>
    <row r="768" s="115" customFormat="1" ht="14"/>
    <row r="769" s="115" customFormat="1" ht="14"/>
    <row r="770" s="115" customFormat="1" ht="14"/>
    <row r="771" s="115" customFormat="1" ht="14"/>
    <row r="772" s="115" customFormat="1" ht="14"/>
    <row r="773" s="115" customFormat="1" ht="14"/>
    <row r="774" s="115" customFormat="1" ht="14"/>
    <row r="775" s="115" customFormat="1" ht="14"/>
    <row r="776" s="115" customFormat="1" ht="14"/>
    <row r="777" s="115" customFormat="1" ht="14"/>
    <row r="778" s="115" customFormat="1" ht="14"/>
    <row r="779" s="115" customFormat="1" ht="14"/>
    <row r="780" s="115" customFormat="1" ht="14"/>
    <row r="781" s="115" customFormat="1" ht="14"/>
    <row r="782" s="115" customFormat="1" ht="14"/>
    <row r="783" s="115" customFormat="1" ht="14"/>
    <row r="784" s="115" customFormat="1" ht="14"/>
    <row r="785" s="115" customFormat="1" ht="14"/>
    <row r="786" s="115" customFormat="1" ht="14"/>
    <row r="787" s="115" customFormat="1" ht="14"/>
    <row r="788" s="115" customFormat="1" ht="14"/>
    <row r="789" s="115" customFormat="1" ht="14"/>
    <row r="790" s="115" customFormat="1" ht="14"/>
    <row r="791" s="115" customFormat="1" ht="14"/>
    <row r="792" s="115" customFormat="1" ht="14"/>
    <row r="793" s="115" customFormat="1" ht="14"/>
    <row r="794" s="115" customFormat="1" ht="14"/>
    <row r="795" s="115" customFormat="1" ht="14"/>
    <row r="796" s="115" customFormat="1" ht="14"/>
    <row r="797" s="115" customFormat="1" ht="14"/>
    <row r="798" s="115" customFormat="1" ht="14"/>
    <row r="799" s="115" customFormat="1" ht="14"/>
    <row r="800" s="115" customFormat="1" ht="14"/>
    <row r="801" s="115" customFormat="1" ht="14"/>
    <row r="802" s="115" customFormat="1" ht="14"/>
    <row r="803" s="115" customFormat="1" ht="14"/>
    <row r="804" s="115" customFormat="1" ht="14"/>
    <row r="805" s="115" customFormat="1" ht="14"/>
    <row r="806" s="115" customFormat="1" ht="14"/>
    <row r="807" s="115" customFormat="1" ht="14"/>
    <row r="808" s="115" customFormat="1" ht="14"/>
    <row r="809" s="115" customFormat="1" ht="14"/>
    <row r="810" s="115" customFormat="1" ht="14"/>
    <row r="811" s="115" customFormat="1" ht="14"/>
    <row r="812" s="115" customFormat="1" ht="14"/>
    <row r="813" s="115" customFormat="1" ht="14"/>
    <row r="814" s="115" customFormat="1" ht="14"/>
    <row r="815" s="115" customFormat="1" ht="14"/>
    <row r="816" s="115" customFormat="1" ht="14"/>
    <row r="817" s="115" customFormat="1" ht="14"/>
    <row r="818" s="115" customFormat="1" ht="14"/>
    <row r="819" s="115" customFormat="1" ht="14"/>
    <row r="820" s="115" customFormat="1" ht="14"/>
    <row r="821" s="115" customFormat="1" ht="14"/>
    <row r="822" s="115" customFormat="1" ht="14"/>
    <row r="823" s="115" customFormat="1" ht="14"/>
    <row r="824" s="115" customFormat="1" ht="14"/>
    <row r="825" s="115" customFormat="1" ht="14"/>
    <row r="826" s="115" customFormat="1" ht="14"/>
    <row r="827" s="115" customFormat="1" ht="14"/>
    <row r="828" s="115" customFormat="1" ht="14"/>
    <row r="829" s="115" customFormat="1" ht="14"/>
    <row r="830" s="115" customFormat="1" ht="14"/>
    <row r="831" s="115" customFormat="1" ht="14"/>
    <row r="832" s="115" customFormat="1" ht="14"/>
    <row r="833" s="115" customFormat="1" ht="14"/>
    <row r="834" s="115" customFormat="1" ht="14"/>
    <row r="835" s="115" customFormat="1" ht="14"/>
    <row r="836" s="115" customFormat="1" ht="14"/>
    <row r="837" s="115" customFormat="1" ht="14"/>
    <row r="838" s="115" customFormat="1" ht="14"/>
    <row r="839" s="115" customFormat="1" ht="14"/>
    <row r="840" s="115" customFormat="1" ht="14"/>
    <row r="841" s="115" customFormat="1" ht="14"/>
    <row r="842" s="115" customFormat="1" ht="14"/>
    <row r="843" s="115" customFormat="1" ht="14"/>
    <row r="844" s="115" customFormat="1" ht="14"/>
    <row r="845" s="115" customFormat="1" ht="14"/>
    <row r="846" s="115" customFormat="1" ht="14"/>
    <row r="847" s="115" customFormat="1" ht="14"/>
    <row r="848" s="115" customFormat="1" ht="14"/>
    <row r="849" s="115" customFormat="1" ht="14"/>
    <row r="850" s="115" customFormat="1" ht="14"/>
    <row r="851" s="115" customFormat="1" ht="14"/>
    <row r="852" s="115" customFormat="1" ht="14"/>
    <row r="853" s="115" customFormat="1" ht="14"/>
    <row r="854" s="115" customFormat="1" ht="14"/>
    <row r="855" s="115" customFormat="1" ht="14"/>
    <row r="856" s="115" customFormat="1" ht="14"/>
    <row r="857" s="115" customFormat="1" ht="14"/>
    <row r="858" s="115" customFormat="1" ht="14"/>
    <row r="859" s="115" customFormat="1" ht="14"/>
    <row r="860" s="115" customFormat="1" ht="14"/>
    <row r="861" s="115" customFormat="1" ht="14"/>
    <row r="862" s="115" customFormat="1" ht="14"/>
    <row r="863" s="115" customFormat="1" ht="14"/>
    <row r="864" s="115" customFormat="1" ht="14"/>
    <row r="865" s="115" customFormat="1" ht="14"/>
    <row r="866" s="115" customFormat="1" ht="14"/>
    <row r="867" s="115" customFormat="1" ht="14"/>
    <row r="868" s="115" customFormat="1" ht="14"/>
    <row r="869" s="115" customFormat="1" ht="14"/>
    <row r="870" s="115" customFormat="1" ht="14"/>
    <row r="871" s="115" customFormat="1" ht="14"/>
    <row r="872" s="115" customFormat="1" ht="14"/>
    <row r="873" s="115" customFormat="1" ht="14"/>
    <row r="874" s="115" customFormat="1" ht="14"/>
    <row r="875" s="115" customFormat="1" ht="14"/>
    <row r="876" s="115" customFormat="1" ht="14"/>
    <row r="877" s="115" customFormat="1" ht="14"/>
    <row r="878" s="115" customFormat="1" ht="14"/>
    <row r="879" s="115" customFormat="1" ht="14"/>
    <row r="880" s="115" customFormat="1" ht="14"/>
    <row r="881" s="115" customFormat="1" ht="14"/>
    <row r="882" s="115" customFormat="1" ht="14"/>
    <row r="883" s="115" customFormat="1" ht="14"/>
    <row r="884" s="115" customFormat="1" ht="14"/>
    <row r="885" s="115" customFormat="1" ht="14"/>
    <row r="886" s="115" customFormat="1" ht="14"/>
    <row r="887" s="115" customFormat="1" ht="14"/>
    <row r="888" s="115" customFormat="1" ht="14"/>
    <row r="889" s="115" customFormat="1" ht="14"/>
    <row r="890" s="115" customFormat="1" ht="14"/>
    <row r="891" s="115" customFormat="1" ht="14"/>
    <row r="892" s="115" customFormat="1" ht="14"/>
    <row r="893" s="115" customFormat="1" ht="14"/>
    <row r="894" s="115" customFormat="1" ht="14"/>
    <row r="895" s="115" customFormat="1" ht="14"/>
    <row r="896" s="115" customFormat="1" ht="14"/>
    <row r="897" s="115" customFormat="1" ht="14"/>
    <row r="898" s="115" customFormat="1" ht="14"/>
    <row r="899" s="115" customFormat="1" ht="14"/>
    <row r="900" s="115" customFormat="1" ht="14"/>
    <row r="901" s="115" customFormat="1" ht="14"/>
    <row r="902" s="115" customFormat="1" ht="14"/>
    <row r="903" s="115" customFormat="1" ht="14"/>
    <row r="904" s="115" customFormat="1" ht="14"/>
    <row r="905" s="115" customFormat="1" ht="14"/>
    <row r="906" s="115" customFormat="1" ht="14"/>
    <row r="907" s="115" customFormat="1" ht="14"/>
    <row r="908" s="115" customFormat="1" ht="14"/>
    <row r="909" s="115" customFormat="1" ht="14"/>
    <row r="910" s="115" customFormat="1" ht="14"/>
    <row r="911" s="115" customFormat="1" ht="14"/>
    <row r="912" s="115" customFormat="1" ht="14"/>
    <row r="913" s="115" customFormat="1" ht="14"/>
    <row r="914" s="115" customFormat="1" ht="14"/>
    <row r="915" s="115" customFormat="1" ht="14"/>
    <row r="916" s="115" customFormat="1" ht="14"/>
    <row r="917" s="115" customFormat="1" ht="14"/>
    <row r="918" s="115" customFormat="1" ht="14"/>
    <row r="919" s="115" customFormat="1" ht="14"/>
    <row r="920" s="115" customFormat="1" ht="14"/>
    <row r="921" s="115" customFormat="1" ht="14"/>
    <row r="922" s="115" customFormat="1" ht="14"/>
    <row r="923" s="115" customFormat="1" ht="14"/>
    <row r="924" s="115" customFormat="1" ht="14"/>
    <row r="925" s="115" customFormat="1" ht="14"/>
    <row r="926" s="115" customFormat="1" ht="14"/>
    <row r="927" s="115" customFormat="1" ht="14"/>
    <row r="928" s="115" customFormat="1" ht="14"/>
    <row r="929" s="115" customFormat="1" ht="14"/>
    <row r="930" s="115" customFormat="1" ht="14"/>
    <row r="931" s="115" customFormat="1" ht="14"/>
    <row r="932" s="115" customFormat="1" ht="14"/>
    <row r="933" s="115" customFormat="1" ht="14"/>
    <row r="934" s="115" customFormat="1" ht="14"/>
    <row r="935" s="115" customFormat="1" ht="14"/>
    <row r="936" s="115" customFormat="1" ht="14"/>
    <row r="937" s="115" customFormat="1" ht="14"/>
    <row r="938" s="115" customFormat="1" ht="14"/>
    <row r="939" s="115" customFormat="1" ht="14"/>
    <row r="940" s="115" customFormat="1" ht="14"/>
    <row r="941" s="115" customFormat="1" ht="14"/>
    <row r="942" s="115" customFormat="1" ht="14"/>
    <row r="943" s="115" customFormat="1" ht="14"/>
    <row r="944" s="115" customFormat="1" ht="14"/>
    <row r="945" s="115" customFormat="1" ht="14"/>
    <row r="946" s="115" customFormat="1" ht="14"/>
    <row r="947" s="115" customFormat="1" ht="14"/>
    <row r="948" s="115" customFormat="1" ht="14"/>
    <row r="949" s="115" customFormat="1" ht="14"/>
    <row r="950" s="115" customFormat="1" ht="14"/>
    <row r="951" s="115" customFormat="1" ht="14"/>
    <row r="952" s="115" customFormat="1" ht="14"/>
    <row r="953" s="115" customFormat="1" ht="14"/>
    <row r="954" s="115" customFormat="1" ht="14"/>
    <row r="955" s="115" customFormat="1" ht="14"/>
    <row r="956" s="115" customFormat="1" ht="14"/>
    <row r="957" s="115" customFormat="1" ht="14"/>
    <row r="958" s="115" customFormat="1" ht="14"/>
    <row r="959" s="115" customFormat="1" ht="14"/>
    <row r="960" s="115" customFormat="1" ht="14"/>
    <row r="961" s="115" customFormat="1" ht="14"/>
    <row r="962" s="115" customFormat="1" ht="14"/>
    <row r="963" s="115" customFormat="1" ht="14"/>
    <row r="964" s="115" customFormat="1" ht="14"/>
    <row r="965" s="115" customFormat="1" ht="14"/>
    <row r="966" s="115" customFormat="1" ht="14"/>
    <row r="967" s="115" customFormat="1" ht="14"/>
    <row r="968" s="115" customFormat="1" ht="14"/>
    <row r="969" s="115" customFormat="1" ht="14"/>
    <row r="970" s="115" customFormat="1" ht="14"/>
    <row r="971" s="115" customFormat="1" ht="14"/>
    <row r="972" s="115" customFormat="1" ht="14"/>
    <row r="973" s="115" customFormat="1" ht="14"/>
    <row r="974" s="115" customFormat="1" ht="14"/>
    <row r="975" s="115" customFormat="1" ht="14"/>
    <row r="976" s="115" customFormat="1" ht="14"/>
    <row r="977" s="115" customFormat="1" ht="14"/>
    <row r="978" s="115" customFormat="1" ht="14"/>
    <row r="979" s="115" customFormat="1" ht="14"/>
    <row r="980" s="115" customFormat="1" ht="14"/>
    <row r="981" s="115" customFormat="1" ht="14"/>
    <row r="982" s="115" customFormat="1" ht="14"/>
    <row r="983" s="115" customFormat="1" ht="14"/>
    <row r="984" s="115" customFormat="1" ht="14"/>
    <row r="985" s="115" customFormat="1" ht="14"/>
    <row r="986" s="115" customFormat="1" ht="14"/>
    <row r="987" s="115" customFormat="1" ht="14"/>
    <row r="988" s="115" customFormat="1" ht="14"/>
    <row r="989" s="115" customFormat="1" ht="14"/>
    <row r="990" s="115" customFormat="1" ht="14"/>
    <row r="991" s="115" customFormat="1" ht="14"/>
    <row r="992" s="115" customFormat="1" ht="14"/>
    <row r="993" s="115" customFormat="1" ht="14"/>
    <row r="994" s="115" customFormat="1" ht="14"/>
    <row r="995" s="115" customFormat="1" ht="14"/>
    <row r="996" s="115" customFormat="1" ht="14"/>
    <row r="997" s="115" customFormat="1" ht="14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322E2-34D7-3346-8886-9112C56D4B9A}">
  <sheetPr>
    <tabColor theme="6" tint="0.39997558519241921"/>
  </sheetPr>
  <dimension ref="A1:AI997"/>
  <sheetViews>
    <sheetView showGridLines="0" tabSelected="1" workbookViewId="0">
      <pane xSplit="2" topLeftCell="C1" activePane="topRight" state="frozen"/>
      <selection pane="topRight" activeCell="E48" sqref="E48"/>
    </sheetView>
  </sheetViews>
  <sheetFormatPr baseColWidth="10" defaultColWidth="12.5" defaultRowHeight="15.75" customHeight="1"/>
  <cols>
    <col min="1" max="1" width="28.1640625" style="115" customWidth="1"/>
    <col min="2" max="2" width="11.83203125" style="115" customWidth="1"/>
    <col min="3" max="3" width="19" style="115" customWidth="1"/>
    <col min="4" max="4" width="10.5" style="115" customWidth="1"/>
    <col min="5" max="5" width="9.1640625" style="115" customWidth="1"/>
    <col min="6" max="6" width="8.83203125" style="115" customWidth="1"/>
    <col min="7" max="7" width="9.5" style="115" customWidth="1"/>
    <col min="8" max="8" width="9" style="115" customWidth="1"/>
    <col min="9" max="9" width="6.83203125" style="115" customWidth="1"/>
    <col min="10" max="10" width="7.5" style="115" customWidth="1"/>
    <col min="11" max="11" width="7.33203125" style="115" customWidth="1"/>
    <col min="12" max="12" width="7.83203125" style="115" customWidth="1"/>
    <col min="13" max="13" width="7.6640625" style="115" customWidth="1"/>
    <col min="14" max="15" width="7.1640625" style="115" customWidth="1"/>
    <col min="16" max="16" width="7.33203125" style="115" customWidth="1"/>
    <col min="17" max="18" width="6.5" style="115" customWidth="1"/>
    <col min="19" max="19" width="7.33203125" style="115" customWidth="1"/>
    <col min="20" max="20" width="7.5" style="115" customWidth="1"/>
    <col min="21" max="21" width="6.6640625" style="115" customWidth="1"/>
    <col min="22" max="22" width="7.1640625" style="115" customWidth="1"/>
    <col min="23" max="23" width="7.5" style="115" customWidth="1"/>
    <col min="24" max="24" width="9.33203125" style="115" customWidth="1"/>
    <col min="25" max="25" width="9.5" style="115" customWidth="1"/>
    <col min="26" max="26" width="9.33203125" style="115" customWidth="1"/>
    <col min="27" max="27" width="8.6640625" style="115" customWidth="1"/>
    <col min="28" max="28" width="15.33203125" style="115" customWidth="1"/>
    <col min="29" max="29" width="14" style="115" customWidth="1"/>
    <col min="30" max="30" width="7.5" style="115" customWidth="1"/>
    <col min="31" max="31" width="17.6640625" style="115" customWidth="1"/>
    <col min="32" max="35" width="7.5" style="115" customWidth="1"/>
    <col min="36" max="16384" width="12.5" style="115"/>
  </cols>
  <sheetData>
    <row r="1" spans="1:35" ht="15.75" customHeight="1">
      <c r="A1" s="107"/>
      <c r="B1" s="108"/>
      <c r="C1" s="109">
        <v>46023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 thickBot="1">
      <c r="A3" s="254" t="s">
        <v>1</v>
      </c>
      <c r="B3" s="254" t="s">
        <v>2</v>
      </c>
      <c r="C3" s="254" t="s">
        <v>3</v>
      </c>
      <c r="D3" s="254" t="s">
        <v>4</v>
      </c>
      <c r="E3" s="259" t="s">
        <v>5</v>
      </c>
      <c r="F3" s="255"/>
      <c r="G3" s="255"/>
      <c r="H3" s="255"/>
      <c r="I3" s="141">
        <f>C1</f>
        <v>46023</v>
      </c>
      <c r="J3" s="141">
        <f t="shared" ref="J3:W3" si="0">I3+1</f>
        <v>46024</v>
      </c>
      <c r="K3" s="141">
        <f t="shared" si="0"/>
        <v>46025</v>
      </c>
      <c r="L3" s="141">
        <f t="shared" si="0"/>
        <v>46026</v>
      </c>
      <c r="M3" s="141">
        <f t="shared" si="0"/>
        <v>46027</v>
      </c>
      <c r="N3" s="141">
        <f t="shared" si="0"/>
        <v>46028</v>
      </c>
      <c r="O3" s="141">
        <f t="shared" si="0"/>
        <v>46029</v>
      </c>
      <c r="P3" s="141">
        <f t="shared" si="0"/>
        <v>46030</v>
      </c>
      <c r="Q3" s="141">
        <f t="shared" si="0"/>
        <v>46031</v>
      </c>
      <c r="R3" s="141">
        <f t="shared" si="0"/>
        <v>46032</v>
      </c>
      <c r="S3" s="141">
        <f t="shared" si="0"/>
        <v>46033</v>
      </c>
      <c r="T3" s="141">
        <f t="shared" si="0"/>
        <v>46034</v>
      </c>
      <c r="U3" s="141">
        <f t="shared" si="0"/>
        <v>46035</v>
      </c>
      <c r="V3" s="141">
        <f t="shared" si="0"/>
        <v>46036</v>
      </c>
      <c r="W3" s="141">
        <f t="shared" si="0"/>
        <v>46037</v>
      </c>
      <c r="X3" s="254" t="s">
        <v>6</v>
      </c>
      <c r="Y3" s="254" t="s">
        <v>7</v>
      </c>
      <c r="Z3" s="209"/>
      <c r="AA3" s="210"/>
      <c r="AB3" s="114"/>
    </row>
    <row r="4" spans="1:35" ht="27" customHeight="1" thickBot="1">
      <c r="A4" s="255"/>
      <c r="B4" s="255"/>
      <c r="C4" s="255"/>
      <c r="D4" s="255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Thu</v>
      </c>
      <c r="J4" s="127" t="str">
        <f t="shared" si="1"/>
        <v>Fri</v>
      </c>
      <c r="K4" s="127" t="str">
        <f t="shared" si="1"/>
        <v>Sat</v>
      </c>
      <c r="L4" s="222" t="str">
        <f t="shared" si="1"/>
        <v>Sun</v>
      </c>
      <c r="M4" s="222" t="str">
        <f t="shared" si="1"/>
        <v>Mon</v>
      </c>
      <c r="N4" s="221" t="str">
        <f t="shared" si="1"/>
        <v>Tue</v>
      </c>
      <c r="O4" s="221" t="str">
        <f t="shared" si="1"/>
        <v>Wed</v>
      </c>
      <c r="P4" s="222" t="str">
        <f t="shared" si="1"/>
        <v>Thu</v>
      </c>
      <c r="Q4" s="222" t="str">
        <f t="shared" si="1"/>
        <v>Fri</v>
      </c>
      <c r="R4" s="222" t="str">
        <f t="shared" si="1"/>
        <v>Sat</v>
      </c>
      <c r="S4" s="222" t="str">
        <f t="shared" si="1"/>
        <v>Sun</v>
      </c>
      <c r="T4" s="222" t="str">
        <f t="shared" si="1"/>
        <v>Mon</v>
      </c>
      <c r="U4" s="222" t="str">
        <f t="shared" si="1"/>
        <v>Tue</v>
      </c>
      <c r="V4" s="222" t="str">
        <f t="shared" si="1"/>
        <v>Wed</v>
      </c>
      <c r="W4" s="222" t="str">
        <f t="shared" si="1"/>
        <v>Thu</v>
      </c>
      <c r="X4" s="255"/>
      <c r="Y4" s="255"/>
      <c r="Z4" s="209"/>
      <c r="AA4" s="240" t="s">
        <v>12</v>
      </c>
      <c r="AB4" s="238"/>
      <c r="AC4" s="130"/>
      <c r="AD4" s="130"/>
      <c r="AE4" s="130"/>
      <c r="AF4" s="130"/>
      <c r="AG4" s="130"/>
    </row>
    <row r="5" spans="1:35" ht="12.75" customHeight="1">
      <c r="A5" s="131" t="s">
        <v>40</v>
      </c>
      <c r="B5" s="132" t="s">
        <v>45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 t="shared" ref="G5:G10" si="5">SUM(I5:W5)</f>
        <v>80</v>
      </c>
      <c r="H5" s="135">
        <v>0</v>
      </c>
      <c r="I5" s="245"/>
      <c r="J5" s="183">
        <v>8</v>
      </c>
      <c r="K5" s="183">
        <v>8</v>
      </c>
      <c r="L5" s="183">
        <v>8</v>
      </c>
      <c r="M5" s="183">
        <v>8</v>
      </c>
      <c r="N5" s="183">
        <v>8</v>
      </c>
      <c r="O5" s="245"/>
      <c r="P5" s="245"/>
      <c r="Q5" s="183">
        <v>8</v>
      </c>
      <c r="R5" s="183">
        <v>8</v>
      </c>
      <c r="S5" s="183">
        <v>8</v>
      </c>
      <c r="T5" s="183">
        <v>8</v>
      </c>
      <c r="U5" s="183">
        <v>8</v>
      </c>
      <c r="V5" s="245"/>
      <c r="W5" s="245"/>
      <c r="X5" s="134">
        <f>Y5-COUNTA(I5:W5)</f>
        <v>0</v>
      </c>
      <c r="Y5" s="136">
        <v>10</v>
      </c>
      <c r="Z5" s="209"/>
      <c r="AA5" s="239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41</v>
      </c>
      <c r="B6" s="132" t="s">
        <v>45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72</v>
      </c>
      <c r="G6" s="134">
        <f t="shared" si="5"/>
        <v>72</v>
      </c>
      <c r="H6" s="135">
        <v>0</v>
      </c>
      <c r="I6" s="245"/>
      <c r="J6" s="183"/>
      <c r="K6" s="183">
        <v>8</v>
      </c>
      <c r="L6" s="183">
        <v>8</v>
      </c>
      <c r="M6" s="183">
        <v>8</v>
      </c>
      <c r="N6" s="183">
        <v>8</v>
      </c>
      <c r="O6" s="245"/>
      <c r="P6" s="245"/>
      <c r="Q6" s="183">
        <v>8</v>
      </c>
      <c r="R6" s="183">
        <v>8</v>
      </c>
      <c r="S6" s="183">
        <v>8</v>
      </c>
      <c r="T6" s="183">
        <v>8</v>
      </c>
      <c r="U6" s="183">
        <v>8</v>
      </c>
      <c r="V6" s="245"/>
      <c r="W6" s="245"/>
      <c r="X6" s="134">
        <f t="shared" ref="X6:X14" si="6">Y6-COUNTA(I6:W6)</f>
        <v>1</v>
      </c>
      <c r="Y6" s="136">
        <v>10</v>
      </c>
      <c r="Z6" s="209"/>
      <c r="AA6" s="237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42</v>
      </c>
      <c r="B7" s="132" t="s">
        <v>45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80</v>
      </c>
      <c r="G7" s="134">
        <f t="shared" si="5"/>
        <v>80</v>
      </c>
      <c r="H7" s="135">
        <v>0</v>
      </c>
      <c r="I7" s="245"/>
      <c r="J7" s="183">
        <v>8</v>
      </c>
      <c r="K7" s="183">
        <v>8</v>
      </c>
      <c r="L7" s="183">
        <v>8</v>
      </c>
      <c r="M7" s="183">
        <v>8</v>
      </c>
      <c r="N7" s="183">
        <v>8</v>
      </c>
      <c r="O7" s="245"/>
      <c r="P7" s="245"/>
      <c r="Q7" s="183">
        <v>8</v>
      </c>
      <c r="R7" s="183">
        <v>8</v>
      </c>
      <c r="S7" s="183">
        <v>8</v>
      </c>
      <c r="T7" s="183">
        <v>8</v>
      </c>
      <c r="U7" s="183">
        <v>8</v>
      </c>
      <c r="V7" s="245"/>
      <c r="W7" s="245"/>
      <c r="X7" s="134">
        <f t="shared" si="6"/>
        <v>0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43</v>
      </c>
      <c r="B8" s="132" t="s">
        <v>45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72</v>
      </c>
      <c r="G8" s="134">
        <f t="shared" si="5"/>
        <v>72</v>
      </c>
      <c r="H8" s="135">
        <v>0</v>
      </c>
      <c r="I8" s="245"/>
      <c r="J8" s="183">
        <v>8</v>
      </c>
      <c r="K8" s="243"/>
      <c r="L8" s="243">
        <v>8</v>
      </c>
      <c r="M8" s="183">
        <v>8</v>
      </c>
      <c r="N8" s="243">
        <v>8</v>
      </c>
      <c r="O8" s="245"/>
      <c r="P8" s="245"/>
      <c r="Q8" s="183">
        <v>8</v>
      </c>
      <c r="R8" s="183">
        <v>8</v>
      </c>
      <c r="S8" s="183">
        <v>8</v>
      </c>
      <c r="T8" s="183">
        <v>8</v>
      </c>
      <c r="U8" s="183">
        <v>8</v>
      </c>
      <c r="V8" s="245"/>
      <c r="W8" s="245"/>
      <c r="X8" s="134">
        <f t="shared" si="6"/>
        <v>1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44</v>
      </c>
      <c r="B9" s="132" t="s">
        <v>45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80</v>
      </c>
      <c r="G9" s="134">
        <f t="shared" si="5"/>
        <v>80</v>
      </c>
      <c r="H9" s="135">
        <v>0</v>
      </c>
      <c r="I9" s="245"/>
      <c r="J9" s="241">
        <v>8</v>
      </c>
      <c r="K9" s="183">
        <v>8</v>
      </c>
      <c r="L9" s="183">
        <v>8</v>
      </c>
      <c r="M9" s="183">
        <v>8</v>
      </c>
      <c r="N9" s="183">
        <v>8</v>
      </c>
      <c r="O9" s="246"/>
      <c r="P9" s="245"/>
      <c r="Q9" s="183">
        <v>8</v>
      </c>
      <c r="R9" s="183">
        <v>8</v>
      </c>
      <c r="S9" s="183">
        <v>8</v>
      </c>
      <c r="T9" s="183">
        <v>8</v>
      </c>
      <c r="U9" s="183">
        <v>8</v>
      </c>
      <c r="V9" s="245"/>
      <c r="W9" s="245"/>
      <c r="X9" s="134">
        <f t="shared" si="6"/>
        <v>0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44</v>
      </c>
      <c r="B10" s="132" t="s">
        <v>45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80</v>
      </c>
      <c r="G10" s="134">
        <f t="shared" si="5"/>
        <v>80</v>
      </c>
      <c r="H10" s="135">
        <v>0</v>
      </c>
      <c r="I10" s="245"/>
      <c r="J10" s="241">
        <v>8</v>
      </c>
      <c r="K10" s="241">
        <v>8</v>
      </c>
      <c r="L10" s="241">
        <v>8</v>
      </c>
      <c r="M10" s="241">
        <v>8</v>
      </c>
      <c r="N10" s="241">
        <v>8</v>
      </c>
      <c r="O10" s="245"/>
      <c r="P10" s="245"/>
      <c r="Q10" s="241">
        <v>8</v>
      </c>
      <c r="R10" s="241">
        <v>8</v>
      </c>
      <c r="S10" s="241">
        <v>8</v>
      </c>
      <c r="T10" s="241">
        <v>8</v>
      </c>
      <c r="U10" s="241">
        <v>8</v>
      </c>
      <c r="V10" s="245"/>
      <c r="W10" s="245"/>
      <c r="X10" s="134">
        <f t="shared" si="6"/>
        <v>0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464</v>
      </c>
      <c r="G15" s="224">
        <f t="shared" si="8"/>
        <v>464</v>
      </c>
      <c r="H15" s="224">
        <f t="shared" si="8"/>
        <v>0</v>
      </c>
      <c r="I15" s="224">
        <f t="shared" si="8"/>
        <v>0</v>
      </c>
      <c r="J15" s="224">
        <f t="shared" si="8"/>
        <v>40</v>
      </c>
      <c r="K15" s="224">
        <f t="shared" si="8"/>
        <v>40</v>
      </c>
      <c r="L15" s="224">
        <f t="shared" si="8"/>
        <v>48</v>
      </c>
      <c r="M15" s="224">
        <f t="shared" si="8"/>
        <v>48</v>
      </c>
      <c r="N15" s="224">
        <f t="shared" si="8"/>
        <v>48</v>
      </c>
      <c r="O15" s="224">
        <f t="shared" si="8"/>
        <v>0</v>
      </c>
      <c r="P15" s="224">
        <f t="shared" si="8"/>
        <v>0</v>
      </c>
      <c r="Q15" s="224">
        <f t="shared" si="8"/>
        <v>48</v>
      </c>
      <c r="R15" s="224">
        <f t="shared" si="8"/>
        <v>48</v>
      </c>
      <c r="S15" s="224">
        <f t="shared" si="8"/>
        <v>48</v>
      </c>
      <c r="T15" s="224">
        <f t="shared" si="8"/>
        <v>48</v>
      </c>
      <c r="U15" s="224">
        <f t="shared" si="8"/>
        <v>48</v>
      </c>
      <c r="V15" s="224">
        <f t="shared" si="8"/>
        <v>0</v>
      </c>
      <c r="W15" s="224">
        <f t="shared" si="8"/>
        <v>0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54" t="s">
        <v>1</v>
      </c>
      <c r="B18" s="254" t="s">
        <v>2</v>
      </c>
      <c r="C18" s="254" t="s">
        <v>3</v>
      </c>
      <c r="D18" s="254" t="s">
        <v>4</v>
      </c>
      <c r="E18" s="259" t="s">
        <v>5</v>
      </c>
      <c r="F18" s="255"/>
      <c r="G18" s="255"/>
      <c r="H18" s="255"/>
      <c r="I18" s="141">
        <f>W3+1</f>
        <v>46038</v>
      </c>
      <c r="J18" s="141">
        <f t="shared" ref="J18:X18" si="9">I18+1</f>
        <v>46039</v>
      </c>
      <c r="K18" s="141">
        <f t="shared" si="9"/>
        <v>46040</v>
      </c>
      <c r="L18" s="141">
        <f t="shared" si="9"/>
        <v>46041</v>
      </c>
      <c r="M18" s="141">
        <f t="shared" si="9"/>
        <v>46042</v>
      </c>
      <c r="N18" s="141">
        <f t="shared" si="9"/>
        <v>46043</v>
      </c>
      <c r="O18" s="141">
        <f t="shared" si="9"/>
        <v>46044</v>
      </c>
      <c r="P18" s="141">
        <f t="shared" si="9"/>
        <v>46045</v>
      </c>
      <c r="Q18" s="141">
        <f t="shared" si="9"/>
        <v>46046</v>
      </c>
      <c r="R18" s="141">
        <f t="shared" si="9"/>
        <v>46047</v>
      </c>
      <c r="S18" s="141">
        <f t="shared" si="9"/>
        <v>46048</v>
      </c>
      <c r="T18" s="141">
        <f t="shared" si="9"/>
        <v>46049</v>
      </c>
      <c r="U18" s="141">
        <f t="shared" si="9"/>
        <v>46050</v>
      </c>
      <c r="V18" s="141">
        <f t="shared" si="9"/>
        <v>46051</v>
      </c>
      <c r="W18" s="141">
        <f t="shared" si="9"/>
        <v>46052</v>
      </c>
      <c r="X18" s="141">
        <f t="shared" si="9"/>
        <v>46053</v>
      </c>
      <c r="Y18" s="254" t="s">
        <v>6</v>
      </c>
      <c r="Z18" s="254" t="s">
        <v>7</v>
      </c>
      <c r="AA18" s="209"/>
      <c r="AB18" s="114"/>
    </row>
    <row r="19" spans="1:29" ht="26.25" customHeight="1">
      <c r="A19" s="255"/>
      <c r="B19" s="255"/>
      <c r="C19" s="255"/>
      <c r="D19" s="255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X19" si="10">IF(I18="","",TEXT(WEEKDAY(I18), "ddd"))</f>
        <v>Fri</v>
      </c>
      <c r="J19" s="222" t="str">
        <f t="shared" si="10"/>
        <v>Sat</v>
      </c>
      <c r="K19" s="222" t="str">
        <f t="shared" si="10"/>
        <v>Sun</v>
      </c>
      <c r="L19" s="222" t="str">
        <f t="shared" si="10"/>
        <v>Mon</v>
      </c>
      <c r="M19" s="222" t="str">
        <f t="shared" si="10"/>
        <v>Tue</v>
      </c>
      <c r="N19" s="222" t="str">
        <f t="shared" si="10"/>
        <v>Wed</v>
      </c>
      <c r="O19" s="222" t="str">
        <f t="shared" si="10"/>
        <v>Thu</v>
      </c>
      <c r="P19" s="127" t="str">
        <f t="shared" si="10"/>
        <v>Fri</v>
      </c>
      <c r="Q19" s="127" t="str">
        <f t="shared" si="10"/>
        <v>Sat</v>
      </c>
      <c r="R19" s="222" t="str">
        <f t="shared" si="10"/>
        <v>Sun</v>
      </c>
      <c r="S19" s="222" t="str">
        <f t="shared" si="10"/>
        <v>Mon</v>
      </c>
      <c r="T19" s="222" t="str">
        <f t="shared" si="10"/>
        <v>Tue</v>
      </c>
      <c r="U19" s="222" t="str">
        <f t="shared" si="10"/>
        <v>Wed</v>
      </c>
      <c r="V19" s="222" t="str">
        <f t="shared" si="10"/>
        <v>Thu</v>
      </c>
      <c r="W19" s="222" t="str">
        <f t="shared" si="10"/>
        <v>Fri</v>
      </c>
      <c r="X19" s="222" t="str">
        <f t="shared" si="10"/>
        <v>Sat</v>
      </c>
      <c r="Y19" s="255"/>
      <c r="Z19" s="255"/>
      <c r="AA19" s="209"/>
      <c r="AB19" s="114"/>
    </row>
    <row r="20" spans="1:29" ht="12.75" customHeight="1">
      <c r="A20" s="131" t="s">
        <v>40</v>
      </c>
      <c r="B20" s="132" t="s">
        <v>45</v>
      </c>
      <c r="C20" s="133">
        <v>43437</v>
      </c>
      <c r="D20" s="134">
        <f t="shared" ref="D20:D25" si="11">E20</f>
        <v>96</v>
      </c>
      <c r="E20" s="134">
        <f t="shared" ref="E20:E25" si="12">Z20*8</f>
        <v>96</v>
      </c>
      <c r="F20" s="134">
        <f t="shared" ref="F20:F25" si="13">G20+H20</f>
        <v>96</v>
      </c>
      <c r="G20" s="134">
        <f t="shared" ref="G20:G25" si="14">SUM(I20:X20)</f>
        <v>96</v>
      </c>
      <c r="H20" s="135">
        <v>0</v>
      </c>
      <c r="I20" s="180">
        <v>8</v>
      </c>
      <c r="J20" s="183">
        <v>8</v>
      </c>
      <c r="K20" s="180">
        <v>8</v>
      </c>
      <c r="L20" s="180">
        <v>8</v>
      </c>
      <c r="M20" s="180">
        <v>8</v>
      </c>
      <c r="N20" s="247"/>
      <c r="O20" s="247"/>
      <c r="P20" s="180">
        <v>8</v>
      </c>
      <c r="Q20" s="183">
        <v>8</v>
      </c>
      <c r="R20" s="180">
        <v>8</v>
      </c>
      <c r="S20" s="183">
        <v>8</v>
      </c>
      <c r="T20" s="180">
        <v>8</v>
      </c>
      <c r="U20" s="247"/>
      <c r="V20" s="245"/>
      <c r="W20" s="183">
        <v>8</v>
      </c>
      <c r="X20" s="180">
        <v>8</v>
      </c>
      <c r="Y20" s="134">
        <f t="shared" ref="Y20:Y25" si="15">Z20-COUNTA(I20:X20)</f>
        <v>0</v>
      </c>
      <c r="Z20" s="136">
        <v>12</v>
      </c>
      <c r="AA20" s="209"/>
      <c r="AB20" s="114"/>
    </row>
    <row r="21" spans="1:29" ht="12.75" customHeight="1">
      <c r="A21" s="131" t="s">
        <v>41</v>
      </c>
      <c r="B21" s="132" t="s">
        <v>45</v>
      </c>
      <c r="C21" s="133">
        <v>45028</v>
      </c>
      <c r="D21" s="134">
        <f t="shared" si="11"/>
        <v>96</v>
      </c>
      <c r="E21" s="134">
        <f t="shared" si="12"/>
        <v>96</v>
      </c>
      <c r="F21" s="134">
        <f t="shared" si="13"/>
        <v>88</v>
      </c>
      <c r="G21" s="134">
        <f t="shared" si="14"/>
        <v>88</v>
      </c>
      <c r="H21" s="135">
        <v>0</v>
      </c>
      <c r="I21" s="180">
        <v>8</v>
      </c>
      <c r="J21" s="180">
        <v>8</v>
      </c>
      <c r="K21" s="180">
        <v>8</v>
      </c>
      <c r="L21" s="180">
        <v>8</v>
      </c>
      <c r="M21" s="180">
        <v>8</v>
      </c>
      <c r="N21" s="247"/>
      <c r="O21" s="245"/>
      <c r="P21" s="186"/>
      <c r="Q21" s="180">
        <v>8</v>
      </c>
      <c r="R21" s="183">
        <v>8</v>
      </c>
      <c r="S21" s="180">
        <v>8</v>
      </c>
      <c r="T21" s="180">
        <v>8</v>
      </c>
      <c r="U21" s="247"/>
      <c r="V21" s="245"/>
      <c r="W21" s="180">
        <v>8</v>
      </c>
      <c r="X21" s="180">
        <v>8</v>
      </c>
      <c r="Y21" s="134">
        <f t="shared" si="15"/>
        <v>1</v>
      </c>
      <c r="Z21" s="136">
        <v>12</v>
      </c>
      <c r="AA21" s="209"/>
      <c r="AB21" s="114"/>
    </row>
    <row r="22" spans="1:29" ht="12.75" customHeight="1">
      <c r="A22" s="131" t="s">
        <v>42</v>
      </c>
      <c r="B22" s="132" t="s">
        <v>45</v>
      </c>
      <c r="C22" s="133">
        <v>43395</v>
      </c>
      <c r="D22" s="134">
        <f t="shared" si="11"/>
        <v>96</v>
      </c>
      <c r="E22" s="134">
        <f t="shared" si="12"/>
        <v>96</v>
      </c>
      <c r="F22" s="134">
        <f t="shared" si="13"/>
        <v>96</v>
      </c>
      <c r="G22" s="134">
        <f t="shared" si="14"/>
        <v>96</v>
      </c>
      <c r="H22" s="135">
        <v>0</v>
      </c>
      <c r="I22" s="180">
        <v>8</v>
      </c>
      <c r="J22" s="180">
        <v>8</v>
      </c>
      <c r="K22" s="180">
        <v>8</v>
      </c>
      <c r="L22" s="180">
        <v>8</v>
      </c>
      <c r="M22" s="180">
        <v>8</v>
      </c>
      <c r="N22" s="247"/>
      <c r="O22" s="247"/>
      <c r="P22" s="180">
        <v>8</v>
      </c>
      <c r="Q22" s="180">
        <v>8</v>
      </c>
      <c r="R22" s="180">
        <v>8</v>
      </c>
      <c r="S22" s="180">
        <v>8</v>
      </c>
      <c r="T22" s="180">
        <v>8</v>
      </c>
      <c r="U22" s="247"/>
      <c r="V22" s="247"/>
      <c r="W22" s="180">
        <v>8</v>
      </c>
      <c r="X22" s="180">
        <v>8</v>
      </c>
      <c r="Y22" s="134">
        <f t="shared" si="15"/>
        <v>0</v>
      </c>
      <c r="Z22" s="136">
        <v>12</v>
      </c>
      <c r="AA22" s="209"/>
      <c r="AB22" s="114"/>
    </row>
    <row r="23" spans="1:29" ht="12.75" customHeight="1">
      <c r="A23" s="131" t="s">
        <v>43</v>
      </c>
      <c r="B23" s="132" t="s">
        <v>45</v>
      </c>
      <c r="C23" s="138">
        <v>43741</v>
      </c>
      <c r="D23" s="134">
        <f t="shared" si="11"/>
        <v>96</v>
      </c>
      <c r="E23" s="134">
        <f t="shared" si="12"/>
        <v>96</v>
      </c>
      <c r="F23" s="134">
        <f t="shared" si="13"/>
        <v>88</v>
      </c>
      <c r="G23" s="134">
        <f t="shared" si="14"/>
        <v>88</v>
      </c>
      <c r="H23" s="135">
        <v>0</v>
      </c>
      <c r="I23" s="180">
        <v>8</v>
      </c>
      <c r="J23" s="180">
        <v>8</v>
      </c>
      <c r="K23" s="180">
        <v>8</v>
      </c>
      <c r="L23" s="180">
        <v>8</v>
      </c>
      <c r="M23" s="180">
        <v>8</v>
      </c>
      <c r="N23" s="247"/>
      <c r="O23" s="245"/>
      <c r="P23" s="183">
        <v>8</v>
      </c>
      <c r="Q23" s="180">
        <v>8</v>
      </c>
      <c r="R23" s="183">
        <v>8</v>
      </c>
      <c r="S23" s="180">
        <v>8</v>
      </c>
      <c r="T23" s="186"/>
      <c r="U23" s="247"/>
      <c r="V23" s="245"/>
      <c r="W23" s="183">
        <v>8</v>
      </c>
      <c r="X23" s="180">
        <v>8</v>
      </c>
      <c r="Y23" s="134">
        <f t="shared" si="15"/>
        <v>1</v>
      </c>
      <c r="Z23" s="136">
        <v>12</v>
      </c>
      <c r="AA23" s="209"/>
      <c r="AB23" s="114"/>
    </row>
    <row r="24" spans="1:29" ht="12.75" customHeight="1">
      <c r="A24" s="139" t="s">
        <v>44</v>
      </c>
      <c r="B24" s="132" t="s">
        <v>45</v>
      </c>
      <c r="C24" s="138">
        <v>43731</v>
      </c>
      <c r="D24" s="134">
        <f t="shared" si="11"/>
        <v>96</v>
      </c>
      <c r="E24" s="134">
        <f t="shared" si="12"/>
        <v>96</v>
      </c>
      <c r="F24" s="134">
        <f t="shared" si="13"/>
        <v>88</v>
      </c>
      <c r="G24" s="134">
        <f t="shared" si="14"/>
        <v>88</v>
      </c>
      <c r="H24" s="135">
        <v>0</v>
      </c>
      <c r="I24" s="180">
        <v>8</v>
      </c>
      <c r="J24" s="180">
        <v>8</v>
      </c>
      <c r="K24" s="180">
        <v>8</v>
      </c>
      <c r="L24" s="237"/>
      <c r="M24" s="180">
        <v>8</v>
      </c>
      <c r="N24" s="247"/>
      <c r="O24" s="247"/>
      <c r="P24" s="183">
        <v>8</v>
      </c>
      <c r="Q24" s="180">
        <v>8</v>
      </c>
      <c r="R24" s="180">
        <v>8</v>
      </c>
      <c r="S24" s="180">
        <v>8</v>
      </c>
      <c r="T24" s="180">
        <v>8</v>
      </c>
      <c r="U24" s="247"/>
      <c r="V24" s="247"/>
      <c r="W24" s="180">
        <v>8</v>
      </c>
      <c r="X24" s="180">
        <v>8</v>
      </c>
      <c r="Y24" s="134">
        <f t="shared" si="15"/>
        <v>1</v>
      </c>
      <c r="Z24" s="136">
        <v>12</v>
      </c>
      <c r="AA24" s="209"/>
      <c r="AB24" s="114"/>
    </row>
    <row r="25" spans="1:29" ht="12.75" customHeight="1">
      <c r="A25" s="139" t="s">
        <v>44</v>
      </c>
      <c r="B25" s="132" t="s">
        <v>45</v>
      </c>
      <c r="C25" s="138">
        <v>45628</v>
      </c>
      <c r="D25" s="134">
        <f t="shared" si="11"/>
        <v>96</v>
      </c>
      <c r="E25" s="134">
        <f t="shared" si="12"/>
        <v>96</v>
      </c>
      <c r="F25" s="134">
        <f t="shared" si="13"/>
        <v>72</v>
      </c>
      <c r="G25" s="134">
        <f t="shared" si="14"/>
        <v>72</v>
      </c>
      <c r="H25" s="135">
        <v>0</v>
      </c>
      <c r="I25" s="241">
        <v>8</v>
      </c>
      <c r="J25" s="241">
        <v>8</v>
      </c>
      <c r="K25" s="241">
        <v>8</v>
      </c>
      <c r="L25" s="237"/>
      <c r="M25" s="237"/>
      <c r="N25" s="245"/>
      <c r="O25" s="245"/>
      <c r="P25" s="241">
        <v>8</v>
      </c>
      <c r="Q25" s="241">
        <v>8</v>
      </c>
      <c r="R25" s="237"/>
      <c r="S25" s="241">
        <v>8</v>
      </c>
      <c r="T25" s="241">
        <v>8</v>
      </c>
      <c r="U25" s="245"/>
      <c r="V25" s="245"/>
      <c r="W25" s="241">
        <v>8</v>
      </c>
      <c r="X25" s="241">
        <v>8</v>
      </c>
      <c r="Y25" s="134">
        <f t="shared" si="15"/>
        <v>3</v>
      </c>
      <c r="Z25" s="136">
        <v>12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576</v>
      </c>
      <c r="E30" s="224">
        <f t="shared" si="16"/>
        <v>576</v>
      </c>
      <c r="F30" s="224">
        <f t="shared" si="16"/>
        <v>528</v>
      </c>
      <c r="G30" s="224">
        <f t="shared" si="16"/>
        <v>528</v>
      </c>
      <c r="H30" s="224">
        <f t="shared" si="16"/>
        <v>0</v>
      </c>
      <c r="I30" s="224">
        <f t="shared" si="16"/>
        <v>48</v>
      </c>
      <c r="J30" s="224">
        <f t="shared" si="16"/>
        <v>48</v>
      </c>
      <c r="K30" s="224">
        <f t="shared" si="16"/>
        <v>48</v>
      </c>
      <c r="L30" s="224">
        <f t="shared" si="16"/>
        <v>32</v>
      </c>
      <c r="M30" s="224">
        <f t="shared" si="16"/>
        <v>40</v>
      </c>
      <c r="N30" s="224">
        <f t="shared" si="16"/>
        <v>0</v>
      </c>
      <c r="O30" s="224">
        <f t="shared" si="16"/>
        <v>0</v>
      </c>
      <c r="P30" s="224">
        <f t="shared" si="16"/>
        <v>40</v>
      </c>
      <c r="Q30" s="224">
        <f t="shared" si="16"/>
        <v>48</v>
      </c>
      <c r="R30" s="224">
        <f t="shared" si="16"/>
        <v>40</v>
      </c>
      <c r="S30" s="224">
        <f t="shared" si="16"/>
        <v>48</v>
      </c>
      <c r="T30" s="224">
        <f t="shared" si="16"/>
        <v>40</v>
      </c>
      <c r="U30" s="224">
        <f t="shared" si="16"/>
        <v>0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 thickBo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248" t="s">
        <v>25</v>
      </c>
      <c r="E33" s="248" t="s">
        <v>38</v>
      </c>
      <c r="F33" s="248" t="s">
        <v>39</v>
      </c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31" t="s">
        <v>40</v>
      </c>
      <c r="B34" s="153">
        <v>168</v>
      </c>
      <c r="C34" s="154">
        <f t="shared" ref="C34:C39" si="17">E5+E20</f>
        <v>176</v>
      </c>
      <c r="D34" s="249">
        <v>168</v>
      </c>
      <c r="E34" s="252">
        <v>150</v>
      </c>
      <c r="F34" s="252">
        <v>98</v>
      </c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31" t="s">
        <v>41</v>
      </c>
      <c r="B35" s="153">
        <f>F6+F21</f>
        <v>160</v>
      </c>
      <c r="C35" s="154">
        <f t="shared" si="17"/>
        <v>176</v>
      </c>
      <c r="D35" s="249">
        <f t="shared" ref="D34:D39" si="18">B35</f>
        <v>160</v>
      </c>
      <c r="E35" s="252">
        <v>100</v>
      </c>
      <c r="F35" s="252">
        <v>65</v>
      </c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31" t="s">
        <v>42</v>
      </c>
      <c r="B36" s="153">
        <f>F7+F22</f>
        <v>176</v>
      </c>
      <c r="C36" s="154">
        <f t="shared" si="17"/>
        <v>176</v>
      </c>
      <c r="D36" s="249">
        <f t="shared" si="18"/>
        <v>176</v>
      </c>
      <c r="E36" s="252">
        <v>100</v>
      </c>
      <c r="F36" s="252">
        <v>65</v>
      </c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31" t="s">
        <v>43</v>
      </c>
      <c r="B37" s="153">
        <v>152</v>
      </c>
      <c r="C37" s="154">
        <f t="shared" si="17"/>
        <v>176</v>
      </c>
      <c r="D37" s="249">
        <f t="shared" si="18"/>
        <v>152</v>
      </c>
      <c r="E37" s="252">
        <v>200</v>
      </c>
      <c r="F37" s="252">
        <v>130</v>
      </c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139" t="s">
        <v>44</v>
      </c>
      <c r="B38" s="216">
        <f>F9+F24</f>
        <v>168</v>
      </c>
      <c r="C38" s="217">
        <f t="shared" si="17"/>
        <v>176</v>
      </c>
      <c r="D38" s="250">
        <f t="shared" si="18"/>
        <v>168</v>
      </c>
      <c r="E38" s="252">
        <v>70</v>
      </c>
      <c r="F38" s="253">
        <v>45</v>
      </c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 thickBot="1">
      <c r="A39" s="139" t="s">
        <v>44</v>
      </c>
      <c r="B39" s="158">
        <f>G10+G25</f>
        <v>152</v>
      </c>
      <c r="C39" s="159">
        <f t="shared" si="17"/>
        <v>176</v>
      </c>
      <c r="D39" s="251">
        <f t="shared" si="18"/>
        <v>152</v>
      </c>
      <c r="E39" s="252">
        <v>90</v>
      </c>
      <c r="F39" s="253">
        <v>58</v>
      </c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 thickBo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6" t="s">
        <v>0</v>
      </c>
      <c r="B46" s="257"/>
      <c r="C46" s="258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10</v>
      </c>
      <c r="C48" s="171">
        <f>B48*8</f>
        <v>80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 thickBo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 thickBo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6" t="s">
        <v>22</v>
      </c>
      <c r="B53" s="257"/>
      <c r="C53" s="258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12</v>
      </c>
      <c r="C55" s="171">
        <f t="shared" ref="C55:C56" si="21">B55*8</f>
        <v>96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 thickBot="1">
      <c r="A57" s="176" t="s">
        <v>31</v>
      </c>
      <c r="B57" s="172">
        <f t="shared" ref="B57:C57" si="22">B55-B56</f>
        <v>12</v>
      </c>
      <c r="C57" s="173">
        <f t="shared" si="22"/>
        <v>96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 thickBo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 thickBot="1">
      <c r="A59" s="120"/>
      <c r="B59" s="177" t="s">
        <v>32</v>
      </c>
      <c r="C59" s="178">
        <f>C50+C57</f>
        <v>176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4"/>
    <row r="261" s="115" customFormat="1" ht="14"/>
    <row r="262" s="115" customFormat="1" ht="14"/>
    <row r="263" s="115" customFormat="1" ht="14"/>
    <row r="264" s="115" customFormat="1" ht="14"/>
    <row r="265" s="115" customFormat="1" ht="14"/>
    <row r="266" s="115" customFormat="1" ht="14"/>
    <row r="267" s="115" customFormat="1" ht="14"/>
    <row r="268" s="115" customFormat="1" ht="14"/>
    <row r="269" s="115" customFormat="1" ht="14"/>
    <row r="270" s="115" customFormat="1" ht="14"/>
    <row r="271" s="115" customFormat="1" ht="14"/>
    <row r="272" s="115" customFormat="1" ht="14"/>
    <row r="273" s="115" customFormat="1" ht="14"/>
    <row r="274" s="115" customFormat="1" ht="14"/>
    <row r="275" s="115" customFormat="1" ht="14"/>
    <row r="276" s="115" customFormat="1" ht="14"/>
    <row r="277" s="115" customFormat="1" ht="14"/>
    <row r="278" s="115" customFormat="1" ht="14"/>
    <row r="279" s="115" customFormat="1" ht="14"/>
    <row r="280" s="115" customFormat="1" ht="14"/>
    <row r="281" s="115" customFormat="1" ht="14"/>
    <row r="282" s="115" customFormat="1" ht="14"/>
    <row r="283" s="115" customFormat="1" ht="14"/>
    <row r="284" s="115" customFormat="1" ht="14"/>
    <row r="285" s="115" customFormat="1" ht="14"/>
    <row r="286" s="115" customFormat="1" ht="14"/>
    <row r="287" s="115" customFormat="1" ht="14"/>
    <row r="288" s="115" customFormat="1" ht="14"/>
    <row r="289" s="115" customFormat="1" ht="14"/>
    <row r="290" s="115" customFormat="1" ht="14"/>
    <row r="291" s="115" customFormat="1" ht="14"/>
    <row r="292" s="115" customFormat="1" ht="14"/>
    <row r="293" s="115" customFormat="1" ht="14"/>
    <row r="294" s="115" customFormat="1" ht="14"/>
    <row r="295" s="115" customFormat="1" ht="14"/>
    <row r="296" s="115" customFormat="1" ht="14"/>
    <row r="297" s="115" customFormat="1" ht="14"/>
    <row r="298" s="115" customFormat="1" ht="14"/>
    <row r="299" s="115" customFormat="1" ht="14"/>
    <row r="300" s="115" customFormat="1" ht="14"/>
    <row r="301" s="115" customFormat="1" ht="14"/>
    <row r="302" s="115" customFormat="1" ht="14"/>
    <row r="303" s="115" customFormat="1" ht="14"/>
    <row r="304" s="115" customFormat="1" ht="14"/>
    <row r="305" s="115" customFormat="1" ht="14"/>
    <row r="306" s="115" customFormat="1" ht="14"/>
    <row r="307" s="115" customFormat="1" ht="14"/>
    <row r="308" s="115" customFormat="1" ht="14"/>
    <row r="309" s="115" customFormat="1" ht="14"/>
    <row r="310" s="115" customFormat="1" ht="14"/>
    <row r="311" s="115" customFormat="1" ht="14"/>
    <row r="312" s="115" customFormat="1" ht="14"/>
    <row r="313" s="115" customFormat="1" ht="14"/>
    <row r="314" s="115" customFormat="1" ht="14"/>
    <row r="315" s="115" customFormat="1" ht="14"/>
    <row r="316" s="115" customFormat="1" ht="14"/>
    <row r="317" s="115" customFormat="1" ht="14"/>
    <row r="318" s="115" customFormat="1" ht="14"/>
    <row r="319" s="115" customFormat="1" ht="14"/>
    <row r="320" s="115" customFormat="1" ht="14"/>
    <row r="321" s="115" customFormat="1" ht="14"/>
    <row r="322" s="115" customFormat="1" ht="14"/>
    <row r="323" s="115" customFormat="1" ht="14"/>
    <row r="324" s="115" customFormat="1" ht="14"/>
    <row r="325" s="115" customFormat="1" ht="14"/>
    <row r="326" s="115" customFormat="1" ht="14"/>
    <row r="327" s="115" customFormat="1" ht="14"/>
    <row r="328" s="115" customFormat="1" ht="14"/>
    <row r="329" s="115" customFormat="1" ht="14"/>
    <row r="330" s="115" customFormat="1" ht="14"/>
    <row r="331" s="115" customFormat="1" ht="14"/>
    <row r="332" s="115" customFormat="1" ht="14"/>
    <row r="333" s="115" customFormat="1" ht="14"/>
    <row r="334" s="115" customFormat="1" ht="14"/>
    <row r="335" s="115" customFormat="1" ht="14"/>
    <row r="336" s="115" customFormat="1" ht="14"/>
    <row r="337" s="115" customFormat="1" ht="14"/>
    <row r="338" s="115" customFormat="1" ht="14"/>
    <row r="339" s="115" customFormat="1" ht="14"/>
    <row r="340" s="115" customFormat="1" ht="14"/>
    <row r="341" s="115" customFormat="1" ht="14"/>
    <row r="342" s="115" customFormat="1" ht="14"/>
    <row r="343" s="115" customFormat="1" ht="14"/>
    <row r="344" s="115" customFormat="1" ht="14"/>
    <row r="345" s="115" customFormat="1" ht="14"/>
    <row r="346" s="115" customFormat="1" ht="14"/>
    <row r="347" s="115" customFormat="1" ht="14"/>
    <row r="348" s="115" customFormat="1" ht="14"/>
    <row r="349" s="115" customFormat="1" ht="14"/>
    <row r="350" s="115" customFormat="1" ht="14"/>
    <row r="351" s="115" customFormat="1" ht="14"/>
    <row r="352" s="115" customFormat="1" ht="14"/>
    <row r="353" s="115" customFormat="1" ht="14"/>
    <row r="354" s="115" customFormat="1" ht="14"/>
    <row r="355" s="115" customFormat="1" ht="14"/>
    <row r="356" s="115" customFormat="1" ht="14"/>
    <row r="357" s="115" customFormat="1" ht="14"/>
    <row r="358" s="115" customFormat="1" ht="14"/>
    <row r="359" s="115" customFormat="1" ht="14"/>
    <row r="360" s="115" customFormat="1" ht="14"/>
    <row r="361" s="115" customFormat="1" ht="14"/>
    <row r="362" s="115" customFormat="1" ht="14"/>
    <row r="363" s="115" customFormat="1" ht="14"/>
    <row r="364" s="115" customFormat="1" ht="14"/>
    <row r="365" s="115" customFormat="1" ht="14"/>
    <row r="366" s="115" customFormat="1" ht="14"/>
    <row r="367" s="115" customFormat="1" ht="14"/>
    <row r="368" s="115" customFormat="1" ht="14"/>
    <row r="369" s="115" customFormat="1" ht="14"/>
    <row r="370" s="115" customFormat="1" ht="14"/>
    <row r="371" s="115" customFormat="1" ht="14"/>
    <row r="372" s="115" customFormat="1" ht="14"/>
    <row r="373" s="115" customFormat="1" ht="14"/>
    <row r="374" s="115" customFormat="1" ht="14"/>
    <row r="375" s="115" customFormat="1" ht="14"/>
    <row r="376" s="115" customFormat="1" ht="14"/>
    <row r="377" s="115" customFormat="1" ht="14"/>
    <row r="378" s="115" customFormat="1" ht="14"/>
    <row r="379" s="115" customFormat="1" ht="14"/>
    <row r="380" s="115" customFormat="1" ht="14"/>
    <row r="381" s="115" customFormat="1" ht="14"/>
    <row r="382" s="115" customFormat="1" ht="14"/>
    <row r="383" s="115" customFormat="1" ht="14"/>
    <row r="384" s="115" customFormat="1" ht="14"/>
    <row r="385" s="115" customFormat="1" ht="14"/>
    <row r="386" s="115" customFormat="1" ht="14"/>
    <row r="387" s="115" customFormat="1" ht="14"/>
    <row r="388" s="115" customFormat="1" ht="14"/>
    <row r="389" s="115" customFormat="1" ht="14"/>
    <row r="390" s="115" customFormat="1" ht="14"/>
    <row r="391" s="115" customFormat="1" ht="14"/>
    <row r="392" s="115" customFormat="1" ht="14"/>
    <row r="393" s="115" customFormat="1" ht="14"/>
    <row r="394" s="115" customFormat="1" ht="14"/>
    <row r="395" s="115" customFormat="1" ht="14"/>
    <row r="396" s="115" customFormat="1" ht="14"/>
    <row r="397" s="115" customFormat="1" ht="14"/>
    <row r="398" s="115" customFormat="1" ht="14"/>
    <row r="399" s="115" customFormat="1" ht="14"/>
    <row r="400" s="115" customFormat="1" ht="14"/>
    <row r="401" s="115" customFormat="1" ht="14"/>
    <row r="402" s="115" customFormat="1" ht="14"/>
    <row r="403" s="115" customFormat="1" ht="14"/>
    <row r="404" s="115" customFormat="1" ht="14"/>
    <row r="405" s="115" customFormat="1" ht="14"/>
    <row r="406" s="115" customFormat="1" ht="14"/>
    <row r="407" s="115" customFormat="1" ht="14"/>
    <row r="408" s="115" customFormat="1" ht="14"/>
    <row r="409" s="115" customFormat="1" ht="14"/>
    <row r="410" s="115" customFormat="1" ht="14"/>
    <row r="411" s="115" customFormat="1" ht="14"/>
    <row r="412" s="115" customFormat="1" ht="14"/>
    <row r="413" s="115" customFormat="1" ht="14"/>
    <row r="414" s="115" customFormat="1" ht="14"/>
    <row r="415" s="115" customFormat="1" ht="14"/>
    <row r="416" s="115" customFormat="1" ht="14"/>
    <row r="417" s="115" customFormat="1" ht="14"/>
    <row r="418" s="115" customFormat="1" ht="14"/>
    <row r="419" s="115" customFormat="1" ht="14"/>
    <row r="420" s="115" customFormat="1" ht="14"/>
    <row r="421" s="115" customFormat="1" ht="14"/>
    <row r="422" s="115" customFormat="1" ht="14"/>
    <row r="423" s="115" customFormat="1" ht="14"/>
    <row r="424" s="115" customFormat="1" ht="14"/>
    <row r="425" s="115" customFormat="1" ht="14"/>
    <row r="426" s="115" customFormat="1" ht="14"/>
    <row r="427" s="115" customFormat="1" ht="14"/>
    <row r="428" s="115" customFormat="1" ht="14"/>
    <row r="429" s="115" customFormat="1" ht="14"/>
    <row r="430" s="115" customFormat="1" ht="14"/>
    <row r="431" s="115" customFormat="1" ht="14"/>
    <row r="432" s="115" customFormat="1" ht="14"/>
    <row r="433" s="115" customFormat="1" ht="14"/>
    <row r="434" s="115" customFormat="1" ht="14"/>
    <row r="435" s="115" customFormat="1" ht="14"/>
    <row r="436" s="115" customFormat="1" ht="14"/>
    <row r="437" s="115" customFormat="1" ht="14"/>
    <row r="438" s="115" customFormat="1" ht="14"/>
    <row r="439" s="115" customFormat="1" ht="14"/>
    <row r="440" s="115" customFormat="1" ht="14"/>
    <row r="441" s="115" customFormat="1" ht="14"/>
    <row r="442" s="115" customFormat="1" ht="14"/>
    <row r="443" s="115" customFormat="1" ht="14"/>
    <row r="444" s="115" customFormat="1" ht="14"/>
    <row r="445" s="115" customFormat="1" ht="14"/>
    <row r="446" s="115" customFormat="1" ht="14"/>
    <row r="447" s="115" customFormat="1" ht="14"/>
    <row r="448" s="115" customFormat="1" ht="14"/>
    <row r="449" s="115" customFormat="1" ht="14"/>
    <row r="450" s="115" customFormat="1" ht="14"/>
    <row r="451" s="115" customFormat="1" ht="14"/>
    <row r="452" s="115" customFormat="1" ht="14"/>
    <row r="453" s="115" customFormat="1" ht="14"/>
    <row r="454" s="115" customFormat="1" ht="14"/>
    <row r="455" s="115" customFormat="1" ht="14"/>
    <row r="456" s="115" customFormat="1" ht="14"/>
    <row r="457" s="115" customFormat="1" ht="14"/>
    <row r="458" s="115" customFormat="1" ht="14"/>
    <row r="459" s="115" customFormat="1" ht="14"/>
    <row r="460" s="115" customFormat="1" ht="14"/>
    <row r="461" s="115" customFormat="1" ht="14"/>
    <row r="462" s="115" customFormat="1" ht="14"/>
    <row r="463" s="115" customFormat="1" ht="14"/>
    <row r="464" s="115" customFormat="1" ht="14"/>
    <row r="465" s="115" customFormat="1" ht="14"/>
    <row r="466" s="115" customFormat="1" ht="14"/>
    <row r="467" s="115" customFormat="1" ht="14"/>
    <row r="468" s="115" customFormat="1" ht="14"/>
    <row r="469" s="115" customFormat="1" ht="14"/>
    <row r="470" s="115" customFormat="1" ht="14"/>
    <row r="471" s="115" customFormat="1" ht="14"/>
    <row r="472" s="115" customFormat="1" ht="14"/>
    <row r="473" s="115" customFormat="1" ht="14"/>
    <row r="474" s="115" customFormat="1" ht="14"/>
    <row r="475" s="115" customFormat="1" ht="14"/>
    <row r="476" s="115" customFormat="1" ht="14"/>
    <row r="477" s="115" customFormat="1" ht="14"/>
    <row r="478" s="115" customFormat="1" ht="14"/>
    <row r="479" s="115" customFormat="1" ht="14"/>
    <row r="480" s="115" customFormat="1" ht="14"/>
    <row r="481" s="115" customFormat="1" ht="14"/>
    <row r="482" s="115" customFormat="1" ht="14"/>
    <row r="483" s="115" customFormat="1" ht="14"/>
    <row r="484" s="115" customFormat="1" ht="14"/>
    <row r="485" s="115" customFormat="1" ht="14"/>
    <row r="486" s="115" customFormat="1" ht="14"/>
    <row r="487" s="115" customFormat="1" ht="14"/>
    <row r="488" s="115" customFormat="1" ht="14"/>
    <row r="489" s="115" customFormat="1" ht="14"/>
    <row r="490" s="115" customFormat="1" ht="14"/>
    <row r="491" s="115" customFormat="1" ht="14"/>
    <row r="492" s="115" customFormat="1" ht="14"/>
    <row r="493" s="115" customFormat="1" ht="14"/>
    <row r="494" s="115" customFormat="1" ht="14"/>
    <row r="495" s="115" customFormat="1" ht="14"/>
    <row r="496" s="115" customFormat="1" ht="14"/>
    <row r="497" s="115" customFormat="1" ht="14"/>
    <row r="498" s="115" customFormat="1" ht="14"/>
    <row r="499" s="115" customFormat="1" ht="14"/>
    <row r="500" s="115" customFormat="1" ht="14"/>
    <row r="501" s="115" customFormat="1" ht="14"/>
    <row r="502" s="115" customFormat="1" ht="14"/>
    <row r="503" s="115" customFormat="1" ht="14"/>
    <row r="504" s="115" customFormat="1" ht="14"/>
    <row r="505" s="115" customFormat="1" ht="14"/>
    <row r="506" s="115" customFormat="1" ht="14"/>
    <row r="507" s="115" customFormat="1" ht="14"/>
    <row r="508" s="115" customFormat="1" ht="14"/>
    <row r="509" s="115" customFormat="1" ht="14"/>
    <row r="510" s="115" customFormat="1" ht="14"/>
    <row r="511" s="115" customFormat="1" ht="14"/>
    <row r="512" s="115" customFormat="1" ht="14"/>
    <row r="513" s="115" customFormat="1" ht="14"/>
    <row r="514" s="115" customFormat="1" ht="14"/>
    <row r="515" s="115" customFormat="1" ht="14"/>
    <row r="516" s="115" customFormat="1" ht="14"/>
    <row r="517" s="115" customFormat="1" ht="14"/>
    <row r="518" s="115" customFormat="1" ht="14"/>
    <row r="519" s="115" customFormat="1" ht="14"/>
    <row r="520" s="115" customFormat="1" ht="14"/>
    <row r="521" s="115" customFormat="1" ht="14"/>
    <row r="522" s="115" customFormat="1" ht="14"/>
    <row r="523" s="115" customFormat="1" ht="14"/>
    <row r="524" s="115" customFormat="1" ht="14"/>
    <row r="525" s="115" customFormat="1" ht="14"/>
    <row r="526" s="115" customFormat="1" ht="14"/>
    <row r="527" s="115" customFormat="1" ht="14"/>
    <row r="528" s="115" customFormat="1" ht="14"/>
    <row r="529" s="115" customFormat="1" ht="14"/>
    <row r="530" s="115" customFormat="1" ht="14"/>
    <row r="531" s="115" customFormat="1" ht="14"/>
    <row r="532" s="115" customFormat="1" ht="14"/>
    <row r="533" s="115" customFormat="1" ht="14"/>
    <row r="534" s="115" customFormat="1" ht="14"/>
    <row r="535" s="115" customFormat="1" ht="14"/>
    <row r="536" s="115" customFormat="1" ht="14"/>
    <row r="537" s="115" customFormat="1" ht="14"/>
    <row r="538" s="115" customFormat="1" ht="14"/>
    <row r="539" s="115" customFormat="1" ht="14"/>
    <row r="540" s="115" customFormat="1" ht="14"/>
    <row r="541" s="115" customFormat="1" ht="14"/>
    <row r="542" s="115" customFormat="1" ht="14"/>
    <row r="543" s="115" customFormat="1" ht="14"/>
    <row r="544" s="115" customFormat="1" ht="14"/>
    <row r="545" s="115" customFormat="1" ht="14"/>
    <row r="546" s="115" customFormat="1" ht="14"/>
    <row r="547" s="115" customFormat="1" ht="14"/>
    <row r="548" s="115" customFormat="1" ht="14"/>
    <row r="549" s="115" customFormat="1" ht="14"/>
    <row r="550" s="115" customFormat="1" ht="14"/>
    <row r="551" s="115" customFormat="1" ht="14"/>
    <row r="552" s="115" customFormat="1" ht="14"/>
    <row r="553" s="115" customFormat="1" ht="14"/>
    <row r="554" s="115" customFormat="1" ht="14"/>
    <row r="555" s="115" customFormat="1" ht="14"/>
    <row r="556" s="115" customFormat="1" ht="14"/>
    <row r="557" s="115" customFormat="1" ht="14"/>
    <row r="558" s="115" customFormat="1" ht="14"/>
    <row r="559" s="115" customFormat="1" ht="14"/>
    <row r="560" s="115" customFormat="1" ht="14"/>
    <row r="561" s="115" customFormat="1" ht="14"/>
    <row r="562" s="115" customFormat="1" ht="14"/>
    <row r="563" s="115" customFormat="1" ht="14"/>
    <row r="564" s="115" customFormat="1" ht="14"/>
    <row r="565" s="115" customFormat="1" ht="14"/>
    <row r="566" s="115" customFormat="1" ht="14"/>
    <row r="567" s="115" customFormat="1" ht="14"/>
    <row r="568" s="115" customFormat="1" ht="14"/>
    <row r="569" s="115" customFormat="1" ht="14"/>
    <row r="570" s="115" customFormat="1" ht="14"/>
    <row r="571" s="115" customFormat="1" ht="14"/>
    <row r="572" s="115" customFormat="1" ht="14"/>
    <row r="573" s="115" customFormat="1" ht="14"/>
    <row r="574" s="115" customFormat="1" ht="14"/>
    <row r="575" s="115" customFormat="1" ht="14"/>
    <row r="576" s="115" customFormat="1" ht="14"/>
    <row r="577" s="115" customFormat="1" ht="14"/>
    <row r="578" s="115" customFormat="1" ht="14"/>
    <row r="579" s="115" customFormat="1" ht="14"/>
    <row r="580" s="115" customFormat="1" ht="14"/>
    <row r="581" s="115" customFormat="1" ht="14"/>
    <row r="582" s="115" customFormat="1" ht="14"/>
    <row r="583" s="115" customFormat="1" ht="14"/>
    <row r="584" s="115" customFormat="1" ht="14"/>
    <row r="585" s="115" customFormat="1" ht="14"/>
    <row r="586" s="115" customFormat="1" ht="14"/>
    <row r="587" s="115" customFormat="1" ht="14"/>
    <row r="588" s="115" customFormat="1" ht="14"/>
    <row r="589" s="115" customFormat="1" ht="14"/>
    <row r="590" s="115" customFormat="1" ht="14"/>
    <row r="591" s="115" customFormat="1" ht="14"/>
    <row r="592" s="115" customFormat="1" ht="14"/>
    <row r="593" s="115" customFormat="1" ht="14"/>
    <row r="594" s="115" customFormat="1" ht="14"/>
    <row r="595" s="115" customFormat="1" ht="14"/>
    <row r="596" s="115" customFormat="1" ht="14"/>
    <row r="597" s="115" customFormat="1" ht="14"/>
    <row r="598" s="115" customFormat="1" ht="14"/>
    <row r="599" s="115" customFormat="1" ht="14"/>
    <row r="600" s="115" customFormat="1" ht="14"/>
    <row r="601" s="115" customFormat="1" ht="14"/>
    <row r="602" s="115" customFormat="1" ht="14"/>
    <row r="603" s="115" customFormat="1" ht="14"/>
    <row r="604" s="115" customFormat="1" ht="14"/>
    <row r="605" s="115" customFormat="1" ht="14"/>
    <row r="606" s="115" customFormat="1" ht="14"/>
    <row r="607" s="115" customFormat="1" ht="14"/>
    <row r="608" s="115" customFormat="1" ht="14"/>
    <row r="609" s="115" customFormat="1" ht="14"/>
    <row r="610" s="115" customFormat="1" ht="14"/>
    <row r="611" s="115" customFormat="1" ht="14"/>
    <row r="612" s="115" customFormat="1" ht="14"/>
    <row r="613" s="115" customFormat="1" ht="14"/>
    <row r="614" s="115" customFormat="1" ht="14"/>
    <row r="615" s="115" customFormat="1" ht="14"/>
    <row r="616" s="115" customFormat="1" ht="14"/>
    <row r="617" s="115" customFormat="1" ht="14"/>
    <row r="618" s="115" customFormat="1" ht="14"/>
    <row r="619" s="115" customFormat="1" ht="14"/>
    <row r="620" s="115" customFormat="1" ht="14"/>
    <row r="621" s="115" customFormat="1" ht="14"/>
    <row r="622" s="115" customFormat="1" ht="14"/>
    <row r="623" s="115" customFormat="1" ht="14"/>
    <row r="624" s="115" customFormat="1" ht="14"/>
    <row r="625" s="115" customFormat="1" ht="14"/>
    <row r="626" s="115" customFormat="1" ht="14"/>
    <row r="627" s="115" customFormat="1" ht="14"/>
    <row r="628" s="115" customFormat="1" ht="14"/>
    <row r="629" s="115" customFormat="1" ht="14"/>
    <row r="630" s="115" customFormat="1" ht="14"/>
    <row r="631" s="115" customFormat="1" ht="14"/>
    <row r="632" s="115" customFormat="1" ht="14"/>
    <row r="633" s="115" customFormat="1" ht="14"/>
    <row r="634" s="115" customFormat="1" ht="14"/>
    <row r="635" s="115" customFormat="1" ht="14"/>
    <row r="636" s="115" customFormat="1" ht="14"/>
    <row r="637" s="115" customFormat="1" ht="14"/>
    <row r="638" s="115" customFormat="1" ht="14"/>
    <row r="639" s="115" customFormat="1" ht="14"/>
    <row r="640" s="115" customFormat="1" ht="14"/>
    <row r="641" s="115" customFormat="1" ht="14"/>
    <row r="642" s="115" customFormat="1" ht="14"/>
    <row r="643" s="115" customFormat="1" ht="14"/>
    <row r="644" s="115" customFormat="1" ht="14"/>
    <row r="645" s="115" customFormat="1" ht="14"/>
    <row r="646" s="115" customFormat="1" ht="14"/>
    <row r="647" s="115" customFormat="1" ht="14"/>
    <row r="648" s="115" customFormat="1" ht="14"/>
    <row r="649" s="115" customFormat="1" ht="14"/>
    <row r="650" s="115" customFormat="1" ht="14"/>
    <row r="651" s="115" customFormat="1" ht="14"/>
    <row r="652" s="115" customFormat="1" ht="14"/>
    <row r="653" s="115" customFormat="1" ht="14"/>
    <row r="654" s="115" customFormat="1" ht="14"/>
    <row r="655" s="115" customFormat="1" ht="14"/>
    <row r="656" s="115" customFormat="1" ht="14"/>
    <row r="657" s="115" customFormat="1" ht="14"/>
    <row r="658" s="115" customFormat="1" ht="14"/>
    <row r="659" s="115" customFormat="1" ht="14"/>
    <row r="660" s="115" customFormat="1" ht="14"/>
    <row r="661" s="115" customFormat="1" ht="14"/>
    <row r="662" s="115" customFormat="1" ht="14"/>
    <row r="663" s="115" customFormat="1" ht="14"/>
    <row r="664" s="115" customFormat="1" ht="14"/>
    <row r="665" s="115" customFormat="1" ht="14"/>
    <row r="666" s="115" customFormat="1" ht="14"/>
    <row r="667" s="115" customFormat="1" ht="14"/>
    <row r="668" s="115" customFormat="1" ht="14"/>
    <row r="669" s="115" customFormat="1" ht="14"/>
    <row r="670" s="115" customFormat="1" ht="14"/>
    <row r="671" s="115" customFormat="1" ht="14"/>
    <row r="672" s="115" customFormat="1" ht="14"/>
    <row r="673" s="115" customFormat="1" ht="14"/>
    <row r="674" s="115" customFormat="1" ht="14"/>
    <row r="675" s="115" customFormat="1" ht="14"/>
    <row r="676" s="115" customFormat="1" ht="14"/>
    <row r="677" s="115" customFormat="1" ht="14"/>
    <row r="678" s="115" customFormat="1" ht="14"/>
    <row r="679" s="115" customFormat="1" ht="14"/>
    <row r="680" s="115" customFormat="1" ht="14"/>
    <row r="681" s="115" customFormat="1" ht="14"/>
    <row r="682" s="115" customFormat="1" ht="14"/>
    <row r="683" s="115" customFormat="1" ht="14"/>
    <row r="684" s="115" customFormat="1" ht="14"/>
    <row r="685" s="115" customFormat="1" ht="14"/>
    <row r="686" s="115" customFormat="1" ht="14"/>
    <row r="687" s="115" customFormat="1" ht="14"/>
    <row r="688" s="115" customFormat="1" ht="14"/>
    <row r="689" s="115" customFormat="1" ht="14"/>
    <row r="690" s="115" customFormat="1" ht="14"/>
    <row r="691" s="115" customFormat="1" ht="14"/>
    <row r="692" s="115" customFormat="1" ht="14"/>
    <row r="693" s="115" customFormat="1" ht="14"/>
    <row r="694" s="115" customFormat="1" ht="14"/>
    <row r="695" s="115" customFormat="1" ht="14"/>
    <row r="696" s="115" customFormat="1" ht="14"/>
    <row r="697" s="115" customFormat="1" ht="14"/>
    <row r="698" s="115" customFormat="1" ht="14"/>
    <row r="699" s="115" customFormat="1" ht="14"/>
    <row r="700" s="115" customFormat="1" ht="14"/>
    <row r="701" s="115" customFormat="1" ht="14"/>
    <row r="702" s="115" customFormat="1" ht="14"/>
    <row r="703" s="115" customFormat="1" ht="14"/>
    <row r="704" s="115" customFormat="1" ht="14"/>
    <row r="705" s="115" customFormat="1" ht="14"/>
    <row r="706" s="115" customFormat="1" ht="14"/>
    <row r="707" s="115" customFormat="1" ht="14"/>
    <row r="708" s="115" customFormat="1" ht="14"/>
    <row r="709" s="115" customFormat="1" ht="14"/>
    <row r="710" s="115" customFormat="1" ht="14"/>
    <row r="711" s="115" customFormat="1" ht="14"/>
    <row r="712" s="115" customFormat="1" ht="14"/>
    <row r="713" s="115" customFormat="1" ht="14"/>
    <row r="714" s="115" customFormat="1" ht="14"/>
    <row r="715" s="115" customFormat="1" ht="14"/>
    <row r="716" s="115" customFormat="1" ht="14"/>
    <row r="717" s="115" customFormat="1" ht="14"/>
    <row r="718" s="115" customFormat="1" ht="14"/>
    <row r="719" s="115" customFormat="1" ht="14"/>
    <row r="720" s="115" customFormat="1" ht="14"/>
    <row r="721" s="115" customFormat="1" ht="14"/>
    <row r="722" s="115" customFormat="1" ht="14"/>
    <row r="723" s="115" customFormat="1" ht="14"/>
    <row r="724" s="115" customFormat="1" ht="14"/>
    <row r="725" s="115" customFormat="1" ht="14"/>
    <row r="726" s="115" customFormat="1" ht="14"/>
    <row r="727" s="115" customFormat="1" ht="14"/>
    <row r="728" s="115" customFormat="1" ht="14"/>
    <row r="729" s="115" customFormat="1" ht="14"/>
    <row r="730" s="115" customFormat="1" ht="14"/>
    <row r="731" s="115" customFormat="1" ht="14"/>
    <row r="732" s="115" customFormat="1" ht="14"/>
    <row r="733" s="115" customFormat="1" ht="14"/>
    <row r="734" s="115" customFormat="1" ht="14"/>
    <row r="735" s="115" customFormat="1" ht="14"/>
    <row r="736" s="115" customFormat="1" ht="14"/>
    <row r="737" s="115" customFormat="1" ht="14"/>
    <row r="738" s="115" customFormat="1" ht="14"/>
    <row r="739" s="115" customFormat="1" ht="14"/>
    <row r="740" s="115" customFormat="1" ht="14"/>
    <row r="741" s="115" customFormat="1" ht="14"/>
    <row r="742" s="115" customFormat="1" ht="14"/>
    <row r="743" s="115" customFormat="1" ht="14"/>
    <row r="744" s="115" customFormat="1" ht="14"/>
    <row r="745" s="115" customFormat="1" ht="14"/>
    <row r="746" s="115" customFormat="1" ht="14"/>
    <row r="747" s="115" customFormat="1" ht="14"/>
    <row r="748" s="115" customFormat="1" ht="14"/>
    <row r="749" s="115" customFormat="1" ht="14"/>
    <row r="750" s="115" customFormat="1" ht="14"/>
    <row r="751" s="115" customFormat="1" ht="14"/>
    <row r="752" s="115" customFormat="1" ht="14"/>
    <row r="753" s="115" customFormat="1" ht="14"/>
    <row r="754" s="115" customFormat="1" ht="14"/>
    <row r="755" s="115" customFormat="1" ht="14"/>
    <row r="756" s="115" customFormat="1" ht="14"/>
    <row r="757" s="115" customFormat="1" ht="14"/>
    <row r="758" s="115" customFormat="1" ht="14"/>
    <row r="759" s="115" customFormat="1" ht="14"/>
    <row r="760" s="115" customFormat="1" ht="14"/>
    <row r="761" s="115" customFormat="1" ht="14"/>
    <row r="762" s="115" customFormat="1" ht="14"/>
    <row r="763" s="115" customFormat="1" ht="14"/>
    <row r="764" s="115" customFormat="1" ht="14"/>
    <row r="765" s="115" customFormat="1" ht="14"/>
    <row r="766" s="115" customFormat="1" ht="14"/>
    <row r="767" s="115" customFormat="1" ht="14"/>
    <row r="768" s="115" customFormat="1" ht="14"/>
    <row r="769" s="115" customFormat="1" ht="14"/>
    <row r="770" s="115" customFormat="1" ht="14"/>
    <row r="771" s="115" customFormat="1" ht="14"/>
    <row r="772" s="115" customFormat="1" ht="14"/>
    <row r="773" s="115" customFormat="1" ht="14"/>
    <row r="774" s="115" customFormat="1" ht="14"/>
    <row r="775" s="115" customFormat="1" ht="14"/>
    <row r="776" s="115" customFormat="1" ht="14"/>
    <row r="777" s="115" customFormat="1" ht="14"/>
    <row r="778" s="115" customFormat="1" ht="14"/>
    <row r="779" s="115" customFormat="1" ht="14"/>
    <row r="780" s="115" customFormat="1" ht="14"/>
    <row r="781" s="115" customFormat="1" ht="14"/>
    <row r="782" s="115" customFormat="1" ht="14"/>
    <row r="783" s="115" customFormat="1" ht="14"/>
    <row r="784" s="115" customFormat="1" ht="14"/>
    <row r="785" s="115" customFormat="1" ht="14"/>
    <row r="786" s="115" customFormat="1" ht="14"/>
    <row r="787" s="115" customFormat="1" ht="14"/>
    <row r="788" s="115" customFormat="1" ht="14"/>
    <row r="789" s="115" customFormat="1" ht="14"/>
    <row r="790" s="115" customFormat="1" ht="14"/>
    <row r="791" s="115" customFormat="1" ht="14"/>
    <row r="792" s="115" customFormat="1" ht="14"/>
    <row r="793" s="115" customFormat="1" ht="14"/>
    <row r="794" s="115" customFormat="1" ht="14"/>
    <row r="795" s="115" customFormat="1" ht="14"/>
    <row r="796" s="115" customFormat="1" ht="14"/>
    <row r="797" s="115" customFormat="1" ht="14"/>
    <row r="798" s="115" customFormat="1" ht="14"/>
    <row r="799" s="115" customFormat="1" ht="14"/>
    <row r="800" s="115" customFormat="1" ht="14"/>
    <row r="801" s="115" customFormat="1" ht="14"/>
    <row r="802" s="115" customFormat="1" ht="14"/>
    <row r="803" s="115" customFormat="1" ht="14"/>
    <row r="804" s="115" customFormat="1" ht="14"/>
    <row r="805" s="115" customFormat="1" ht="14"/>
    <row r="806" s="115" customFormat="1" ht="14"/>
    <row r="807" s="115" customFormat="1" ht="14"/>
    <row r="808" s="115" customFormat="1" ht="14"/>
    <row r="809" s="115" customFormat="1" ht="14"/>
    <row r="810" s="115" customFormat="1" ht="14"/>
    <row r="811" s="115" customFormat="1" ht="14"/>
    <row r="812" s="115" customFormat="1" ht="14"/>
    <row r="813" s="115" customFormat="1" ht="14"/>
    <row r="814" s="115" customFormat="1" ht="14"/>
    <row r="815" s="115" customFormat="1" ht="14"/>
    <row r="816" s="115" customFormat="1" ht="14"/>
    <row r="817" s="115" customFormat="1" ht="14"/>
    <row r="818" s="115" customFormat="1" ht="14"/>
    <row r="819" s="115" customFormat="1" ht="14"/>
    <row r="820" s="115" customFormat="1" ht="14"/>
    <row r="821" s="115" customFormat="1" ht="14"/>
    <row r="822" s="115" customFormat="1" ht="14"/>
    <row r="823" s="115" customFormat="1" ht="14"/>
    <row r="824" s="115" customFormat="1" ht="14"/>
    <row r="825" s="115" customFormat="1" ht="14"/>
    <row r="826" s="115" customFormat="1" ht="14"/>
    <row r="827" s="115" customFormat="1" ht="14"/>
    <row r="828" s="115" customFormat="1" ht="14"/>
    <row r="829" s="115" customFormat="1" ht="14"/>
    <row r="830" s="115" customFormat="1" ht="14"/>
    <row r="831" s="115" customFormat="1" ht="14"/>
    <row r="832" s="115" customFormat="1" ht="14"/>
    <row r="833" s="115" customFormat="1" ht="14"/>
    <row r="834" s="115" customFormat="1" ht="14"/>
    <row r="835" s="115" customFormat="1" ht="14"/>
    <row r="836" s="115" customFormat="1" ht="14"/>
    <row r="837" s="115" customFormat="1" ht="14"/>
    <row r="838" s="115" customFormat="1" ht="14"/>
    <row r="839" s="115" customFormat="1" ht="14"/>
    <row r="840" s="115" customFormat="1" ht="14"/>
    <row r="841" s="115" customFormat="1" ht="14"/>
    <row r="842" s="115" customFormat="1" ht="14"/>
    <row r="843" s="115" customFormat="1" ht="14"/>
    <row r="844" s="115" customFormat="1" ht="14"/>
    <row r="845" s="115" customFormat="1" ht="14"/>
    <row r="846" s="115" customFormat="1" ht="14"/>
    <row r="847" s="115" customFormat="1" ht="14"/>
    <row r="848" s="115" customFormat="1" ht="14"/>
    <row r="849" s="115" customFormat="1" ht="14"/>
    <row r="850" s="115" customFormat="1" ht="14"/>
    <row r="851" s="115" customFormat="1" ht="14"/>
    <row r="852" s="115" customFormat="1" ht="14"/>
    <row r="853" s="115" customFormat="1" ht="14"/>
    <row r="854" s="115" customFormat="1" ht="14"/>
    <row r="855" s="115" customFormat="1" ht="14"/>
    <row r="856" s="115" customFormat="1" ht="14"/>
    <row r="857" s="115" customFormat="1" ht="14"/>
    <row r="858" s="115" customFormat="1" ht="14"/>
    <row r="859" s="115" customFormat="1" ht="14"/>
    <row r="860" s="115" customFormat="1" ht="14"/>
    <row r="861" s="115" customFormat="1" ht="14"/>
    <row r="862" s="115" customFormat="1" ht="14"/>
    <row r="863" s="115" customFormat="1" ht="14"/>
    <row r="864" s="115" customFormat="1" ht="14"/>
    <row r="865" s="115" customFormat="1" ht="14"/>
    <row r="866" s="115" customFormat="1" ht="14"/>
    <row r="867" s="115" customFormat="1" ht="14"/>
    <row r="868" s="115" customFormat="1" ht="14"/>
    <row r="869" s="115" customFormat="1" ht="14"/>
    <row r="870" s="115" customFormat="1" ht="14"/>
    <row r="871" s="115" customFormat="1" ht="14"/>
    <row r="872" s="115" customFormat="1" ht="14"/>
    <row r="873" s="115" customFormat="1" ht="14"/>
    <row r="874" s="115" customFormat="1" ht="14"/>
    <row r="875" s="115" customFormat="1" ht="14"/>
    <row r="876" s="115" customFormat="1" ht="14"/>
    <row r="877" s="115" customFormat="1" ht="14"/>
    <row r="878" s="115" customFormat="1" ht="14"/>
    <row r="879" s="115" customFormat="1" ht="14"/>
    <row r="880" s="115" customFormat="1" ht="14"/>
    <row r="881" s="115" customFormat="1" ht="14"/>
    <row r="882" s="115" customFormat="1" ht="14"/>
    <row r="883" s="115" customFormat="1" ht="14"/>
    <row r="884" s="115" customFormat="1" ht="14"/>
    <row r="885" s="115" customFormat="1" ht="14"/>
    <row r="886" s="115" customFormat="1" ht="14"/>
    <row r="887" s="115" customFormat="1" ht="14"/>
    <row r="888" s="115" customFormat="1" ht="14"/>
    <row r="889" s="115" customFormat="1" ht="14"/>
    <row r="890" s="115" customFormat="1" ht="14"/>
    <row r="891" s="115" customFormat="1" ht="14"/>
    <row r="892" s="115" customFormat="1" ht="14"/>
    <row r="893" s="115" customFormat="1" ht="14"/>
    <row r="894" s="115" customFormat="1" ht="14"/>
    <row r="895" s="115" customFormat="1" ht="14"/>
    <row r="896" s="115" customFormat="1" ht="14"/>
    <row r="897" s="115" customFormat="1" ht="14"/>
    <row r="898" s="115" customFormat="1" ht="14"/>
    <row r="899" s="115" customFormat="1" ht="14"/>
    <row r="900" s="115" customFormat="1" ht="14"/>
    <row r="901" s="115" customFormat="1" ht="14"/>
    <row r="902" s="115" customFormat="1" ht="14"/>
    <row r="903" s="115" customFormat="1" ht="14"/>
    <row r="904" s="115" customFormat="1" ht="14"/>
    <row r="905" s="115" customFormat="1" ht="14"/>
    <row r="906" s="115" customFormat="1" ht="14"/>
    <row r="907" s="115" customFormat="1" ht="14"/>
    <row r="908" s="115" customFormat="1" ht="14"/>
    <row r="909" s="115" customFormat="1" ht="14"/>
    <row r="910" s="115" customFormat="1" ht="14"/>
    <row r="911" s="115" customFormat="1" ht="14"/>
    <row r="912" s="115" customFormat="1" ht="14"/>
    <row r="913" s="115" customFormat="1" ht="14"/>
    <row r="914" s="115" customFormat="1" ht="14"/>
    <row r="915" s="115" customFormat="1" ht="14"/>
    <row r="916" s="115" customFormat="1" ht="14"/>
    <row r="917" s="115" customFormat="1" ht="14"/>
    <row r="918" s="115" customFormat="1" ht="14"/>
    <row r="919" s="115" customFormat="1" ht="14"/>
    <row r="920" s="115" customFormat="1" ht="14"/>
    <row r="921" s="115" customFormat="1" ht="14"/>
    <row r="922" s="115" customFormat="1" ht="14"/>
    <row r="923" s="115" customFormat="1" ht="14"/>
    <row r="924" s="115" customFormat="1" ht="14"/>
    <row r="925" s="115" customFormat="1" ht="14"/>
    <row r="926" s="115" customFormat="1" ht="14"/>
    <row r="927" s="115" customFormat="1" ht="14"/>
    <row r="928" s="115" customFormat="1" ht="14"/>
    <row r="929" s="115" customFormat="1" ht="14"/>
    <row r="930" s="115" customFormat="1" ht="14"/>
    <row r="931" s="115" customFormat="1" ht="14"/>
    <row r="932" s="115" customFormat="1" ht="14"/>
    <row r="933" s="115" customFormat="1" ht="14"/>
    <row r="934" s="115" customFormat="1" ht="14"/>
    <row r="935" s="115" customFormat="1" ht="14"/>
    <row r="936" s="115" customFormat="1" ht="14"/>
    <row r="937" s="115" customFormat="1" ht="14"/>
    <row r="938" s="115" customFormat="1" ht="14"/>
    <row r="939" s="115" customFormat="1" ht="14"/>
    <row r="940" s="115" customFormat="1" ht="14"/>
    <row r="941" s="115" customFormat="1" ht="14"/>
    <row r="942" s="115" customFormat="1" ht="14"/>
    <row r="943" s="115" customFormat="1" ht="14"/>
    <row r="944" s="115" customFormat="1" ht="14"/>
    <row r="945" s="115" customFormat="1" ht="14"/>
    <row r="946" s="115" customFormat="1" ht="14"/>
    <row r="947" s="115" customFormat="1" ht="14"/>
    <row r="948" s="115" customFormat="1" ht="14"/>
    <row r="949" s="115" customFormat="1" ht="14"/>
    <row r="950" s="115" customFormat="1" ht="14"/>
    <row r="951" s="115" customFormat="1" ht="14"/>
    <row r="952" s="115" customFormat="1" ht="14"/>
    <row r="953" s="115" customFormat="1" ht="14"/>
    <row r="954" s="115" customFormat="1" ht="14"/>
    <row r="955" s="115" customFormat="1" ht="14"/>
    <row r="956" s="115" customFormat="1" ht="14"/>
    <row r="957" s="115" customFormat="1" ht="14"/>
    <row r="958" s="115" customFormat="1" ht="14"/>
    <row r="959" s="115" customFormat="1" ht="14"/>
    <row r="960" s="115" customFormat="1" ht="14"/>
    <row r="961" s="115" customFormat="1" ht="14"/>
    <row r="962" s="115" customFormat="1" ht="14"/>
    <row r="963" s="115" customFormat="1" ht="14"/>
    <row r="964" s="115" customFormat="1" ht="14"/>
    <row r="965" s="115" customFormat="1" ht="14"/>
    <row r="966" s="115" customFormat="1" ht="14"/>
    <row r="967" s="115" customFormat="1" ht="14"/>
    <row r="968" s="115" customFormat="1" ht="14"/>
    <row r="969" s="115" customFormat="1" ht="14"/>
    <row r="970" s="115" customFormat="1" ht="14"/>
    <row r="971" s="115" customFormat="1" ht="14"/>
    <row r="972" s="115" customFormat="1" ht="14"/>
    <row r="973" s="115" customFormat="1" ht="14"/>
    <row r="974" s="115" customFormat="1" ht="14"/>
    <row r="975" s="115" customFormat="1" ht="14"/>
    <row r="976" s="115" customFormat="1" ht="14"/>
    <row r="977" s="115" customFormat="1" ht="14"/>
    <row r="978" s="115" customFormat="1" ht="14"/>
    <row r="979" s="115" customFormat="1" ht="14"/>
    <row r="980" s="115" customFormat="1" ht="14"/>
    <row r="981" s="115" customFormat="1" ht="14"/>
    <row r="982" s="115" customFormat="1" ht="14"/>
    <row r="983" s="115" customFormat="1" ht="14"/>
    <row r="984" s="115" customFormat="1" ht="14"/>
    <row r="985" s="115" customFormat="1" ht="14"/>
    <row r="986" s="115" customFormat="1" ht="14"/>
    <row r="987" s="115" customFormat="1" ht="14"/>
    <row r="988" s="115" customFormat="1" ht="14"/>
    <row r="989" s="115" customFormat="1" ht="14"/>
    <row r="990" s="115" customFormat="1" ht="14"/>
    <row r="991" s="115" customFormat="1" ht="14"/>
    <row r="992" s="115" customFormat="1" ht="14"/>
    <row r="993" s="115" customFormat="1" ht="14"/>
    <row r="994" s="115" customFormat="1" ht="14"/>
    <row r="995" s="115" customFormat="1" ht="14"/>
    <row r="996" s="115" customFormat="1" ht="14"/>
    <row r="997" s="115" customFormat="1" ht="14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308DE-EA46-4CE1-BF16-FB46EAAC3A4E}">
  <sheetPr>
    <tabColor theme="6" tint="0.39997558519241921"/>
  </sheetPr>
  <dimension ref="A1:AI997"/>
  <sheetViews>
    <sheetView showGridLines="0" workbookViewId="0">
      <pane xSplit="2" topLeftCell="C1" activePane="topRight" state="frozen"/>
      <selection pane="topRight" activeCell="S21" sqref="S21"/>
    </sheetView>
  </sheetViews>
  <sheetFormatPr baseColWidth="10" defaultColWidth="12.5" defaultRowHeight="15.75" customHeight="1"/>
  <cols>
    <col min="1" max="1" width="28.1640625" style="115" customWidth="1"/>
    <col min="2" max="2" width="11.83203125" style="115" customWidth="1"/>
    <col min="3" max="3" width="19" style="115" customWidth="1"/>
    <col min="4" max="4" width="10.5" style="115" customWidth="1"/>
    <col min="5" max="5" width="8.5" style="115" customWidth="1"/>
    <col min="6" max="6" width="7.5" style="115" customWidth="1"/>
    <col min="7" max="7" width="9.5" style="115" customWidth="1"/>
    <col min="8" max="8" width="9" style="115" customWidth="1"/>
    <col min="9" max="9" width="6.83203125" style="115" customWidth="1"/>
    <col min="10" max="10" width="7.5" style="115" customWidth="1"/>
    <col min="11" max="11" width="7.33203125" style="115" customWidth="1"/>
    <col min="12" max="12" width="7.83203125" style="115" customWidth="1"/>
    <col min="13" max="13" width="7.6640625" style="115" customWidth="1"/>
    <col min="14" max="15" width="7.1640625" style="115" customWidth="1"/>
    <col min="16" max="16" width="7.33203125" style="115" customWidth="1"/>
    <col min="17" max="18" width="6.5" style="115" customWidth="1"/>
    <col min="19" max="19" width="7.33203125" style="115" customWidth="1"/>
    <col min="20" max="20" width="7.5" style="115" customWidth="1"/>
    <col min="21" max="21" width="6.6640625" style="115" customWidth="1"/>
    <col min="22" max="22" width="7.1640625" style="115" customWidth="1"/>
    <col min="23" max="23" width="7.5" style="115" customWidth="1"/>
    <col min="24" max="24" width="9.33203125" style="115" customWidth="1"/>
    <col min="25" max="25" width="9.5" style="115" customWidth="1"/>
    <col min="26" max="26" width="9.33203125" style="115" customWidth="1"/>
    <col min="27" max="27" width="8.6640625" style="115" customWidth="1"/>
    <col min="28" max="28" width="15.33203125" style="115" customWidth="1"/>
    <col min="29" max="29" width="14" style="115" customWidth="1"/>
    <col min="30" max="30" width="7.5" style="115" customWidth="1"/>
    <col min="31" max="31" width="17.6640625" style="115" customWidth="1"/>
    <col min="32" max="35" width="7.5" style="115" customWidth="1"/>
    <col min="36" max="16384" width="12.5" style="115"/>
  </cols>
  <sheetData>
    <row r="1" spans="1:35" ht="15.75" customHeight="1">
      <c r="A1" s="107"/>
      <c r="B1" s="108"/>
      <c r="C1" s="109">
        <v>46054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54" t="s">
        <v>1</v>
      </c>
      <c r="B3" s="254" t="s">
        <v>2</v>
      </c>
      <c r="C3" s="254" t="s">
        <v>3</v>
      </c>
      <c r="D3" s="254" t="s">
        <v>4</v>
      </c>
      <c r="E3" s="259" t="s">
        <v>5</v>
      </c>
      <c r="F3" s="255"/>
      <c r="G3" s="255"/>
      <c r="H3" s="255"/>
      <c r="I3" s="141">
        <f>C1</f>
        <v>46054</v>
      </c>
      <c r="J3" s="141">
        <f t="shared" ref="J3:W3" si="0">I3+1</f>
        <v>46055</v>
      </c>
      <c r="K3" s="141">
        <f t="shared" si="0"/>
        <v>46056</v>
      </c>
      <c r="L3" s="141">
        <f t="shared" si="0"/>
        <v>46057</v>
      </c>
      <c r="M3" s="141">
        <f t="shared" si="0"/>
        <v>46058</v>
      </c>
      <c r="N3" s="141">
        <f t="shared" si="0"/>
        <v>46059</v>
      </c>
      <c r="O3" s="141">
        <f t="shared" si="0"/>
        <v>46060</v>
      </c>
      <c r="P3" s="141">
        <f t="shared" si="0"/>
        <v>46061</v>
      </c>
      <c r="Q3" s="141">
        <f t="shared" si="0"/>
        <v>46062</v>
      </c>
      <c r="R3" s="141">
        <f t="shared" si="0"/>
        <v>46063</v>
      </c>
      <c r="S3" s="141">
        <f t="shared" si="0"/>
        <v>46064</v>
      </c>
      <c r="T3" s="141">
        <f t="shared" si="0"/>
        <v>46065</v>
      </c>
      <c r="U3" s="141">
        <f t="shared" si="0"/>
        <v>46066</v>
      </c>
      <c r="V3" s="141">
        <f t="shared" si="0"/>
        <v>46067</v>
      </c>
      <c r="W3" s="141">
        <f t="shared" si="0"/>
        <v>46068</v>
      </c>
      <c r="X3" s="254" t="s">
        <v>6</v>
      </c>
      <c r="Y3" s="254" t="s">
        <v>7</v>
      </c>
      <c r="Z3" s="209"/>
      <c r="AA3" s="210"/>
      <c r="AB3" s="114"/>
    </row>
    <row r="4" spans="1:35" ht="27" customHeight="1">
      <c r="A4" s="255"/>
      <c r="B4" s="255"/>
      <c r="C4" s="255"/>
      <c r="D4" s="255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Sun</v>
      </c>
      <c r="J4" s="127" t="str">
        <f t="shared" si="1"/>
        <v>Mon</v>
      </c>
      <c r="K4" s="127" t="str">
        <f t="shared" si="1"/>
        <v>Tue</v>
      </c>
      <c r="L4" s="222" t="str">
        <f t="shared" si="1"/>
        <v>Wed</v>
      </c>
      <c r="M4" s="222" t="str">
        <f t="shared" si="1"/>
        <v>Thu</v>
      </c>
      <c r="N4" s="221" t="str">
        <f t="shared" si="1"/>
        <v>Fri</v>
      </c>
      <c r="O4" s="221" t="str">
        <f t="shared" si="1"/>
        <v>Sat</v>
      </c>
      <c r="P4" s="222" t="str">
        <f t="shared" si="1"/>
        <v>Sun</v>
      </c>
      <c r="Q4" s="222" t="str">
        <f t="shared" si="1"/>
        <v>Mon</v>
      </c>
      <c r="R4" s="222" t="str">
        <f t="shared" si="1"/>
        <v>Tue</v>
      </c>
      <c r="S4" s="222" t="str">
        <f t="shared" si="1"/>
        <v>Wed</v>
      </c>
      <c r="T4" s="222" t="str">
        <f t="shared" si="1"/>
        <v>Thu</v>
      </c>
      <c r="U4" s="222" t="str">
        <f t="shared" si="1"/>
        <v>Fri</v>
      </c>
      <c r="V4" s="222" t="str">
        <f t="shared" si="1"/>
        <v>Sat</v>
      </c>
      <c r="W4" s="222" t="str">
        <f t="shared" si="1"/>
        <v>Sun</v>
      </c>
      <c r="X4" s="255"/>
      <c r="Y4" s="255"/>
      <c r="Z4" s="209"/>
      <c r="AA4" s="240" t="s">
        <v>12</v>
      </c>
      <c r="AB4" s="238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>SUM(I5:W5)</f>
        <v>80</v>
      </c>
      <c r="H5" s="135">
        <v>0</v>
      </c>
      <c r="I5" s="200"/>
      <c r="J5" s="183">
        <v>8</v>
      </c>
      <c r="K5" s="183">
        <v>8</v>
      </c>
      <c r="L5" s="183">
        <v>8</v>
      </c>
      <c r="M5" s="183">
        <v>8</v>
      </c>
      <c r="N5" s="183">
        <v>8</v>
      </c>
      <c r="O5" s="200"/>
      <c r="P5" s="200"/>
      <c r="Q5" s="183">
        <v>8</v>
      </c>
      <c r="R5" s="183">
        <v>8</v>
      </c>
      <c r="S5" s="183">
        <v>8</v>
      </c>
      <c r="T5" s="183">
        <v>8</v>
      </c>
      <c r="U5" s="183">
        <v>8</v>
      </c>
      <c r="V5" s="200"/>
      <c r="W5" s="200"/>
      <c r="X5" s="134">
        <f>Y5-COUNTA(I5:W5)</f>
        <v>0</v>
      </c>
      <c r="Y5" s="136">
        <v>10</v>
      </c>
      <c r="Z5" s="209"/>
      <c r="AA5" s="239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64</v>
      </c>
      <c r="G6" s="134">
        <f t="shared" ref="G6:G10" si="5">SUM(I6:W6)</f>
        <v>64</v>
      </c>
      <c r="H6" s="135">
        <v>0</v>
      </c>
      <c r="I6" s="200"/>
      <c r="J6" s="183">
        <v>8</v>
      </c>
      <c r="K6" s="236"/>
      <c r="L6" s="183">
        <v>8</v>
      </c>
      <c r="M6" s="183">
        <v>8</v>
      </c>
      <c r="N6" s="183">
        <v>8</v>
      </c>
      <c r="O6" s="200"/>
      <c r="P6" s="200"/>
      <c r="Q6" s="183">
        <v>8</v>
      </c>
      <c r="R6" s="236"/>
      <c r="S6" s="183">
        <v>8</v>
      </c>
      <c r="T6" s="183">
        <v>8</v>
      </c>
      <c r="U6" s="183">
        <v>8</v>
      </c>
      <c r="V6" s="200"/>
      <c r="W6" s="200"/>
      <c r="X6" s="134">
        <f t="shared" ref="X6:X14" si="6">Y6-COUNTA(I6:W6)</f>
        <v>2</v>
      </c>
      <c r="Y6" s="136">
        <v>10</v>
      </c>
      <c r="Z6" s="209"/>
      <c r="AA6" s="237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80</v>
      </c>
      <c r="G7" s="134">
        <f t="shared" si="5"/>
        <v>80</v>
      </c>
      <c r="H7" s="135">
        <v>0</v>
      </c>
      <c r="I7" s="200"/>
      <c r="J7" s="183">
        <v>8</v>
      </c>
      <c r="K7" s="183">
        <v>8</v>
      </c>
      <c r="L7" s="183">
        <v>8</v>
      </c>
      <c r="M7" s="183">
        <v>8</v>
      </c>
      <c r="N7" s="183">
        <v>8</v>
      </c>
      <c r="O7" s="200"/>
      <c r="P7" s="200"/>
      <c r="Q7" s="183">
        <v>8</v>
      </c>
      <c r="R7" s="183">
        <v>8</v>
      </c>
      <c r="S7" s="183">
        <v>8</v>
      </c>
      <c r="T7" s="183">
        <v>8</v>
      </c>
      <c r="U7" s="183">
        <v>8</v>
      </c>
      <c r="V7" s="200"/>
      <c r="W7" s="200"/>
      <c r="X7" s="134">
        <f t="shared" si="6"/>
        <v>0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200"/>
      <c r="J8" s="183">
        <v>8</v>
      </c>
      <c r="K8" s="243">
        <v>8</v>
      </c>
      <c r="L8" s="243">
        <v>8</v>
      </c>
      <c r="M8" s="243">
        <v>8</v>
      </c>
      <c r="N8" s="243">
        <v>8</v>
      </c>
      <c r="O8" s="200"/>
      <c r="P8" s="200"/>
      <c r="Q8" s="183">
        <v>8</v>
      </c>
      <c r="R8" s="183">
        <v>8</v>
      </c>
      <c r="S8" s="183">
        <v>8</v>
      </c>
      <c r="T8" s="183">
        <v>8</v>
      </c>
      <c r="U8" s="183">
        <v>8</v>
      </c>
      <c r="V8" s="200"/>
      <c r="W8" s="200"/>
      <c r="X8" s="134">
        <f t="shared" si="6"/>
        <v>0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48</v>
      </c>
      <c r="G9" s="134">
        <f t="shared" si="5"/>
        <v>48</v>
      </c>
      <c r="H9" s="135">
        <v>0</v>
      </c>
      <c r="I9" s="200"/>
      <c r="J9" s="241">
        <v>8</v>
      </c>
      <c r="K9" s="236"/>
      <c r="L9" s="236"/>
      <c r="M9" s="236"/>
      <c r="N9" s="236"/>
      <c r="O9" s="242"/>
      <c r="P9" s="200"/>
      <c r="Q9" s="183">
        <v>8</v>
      </c>
      <c r="R9" s="183">
        <v>8</v>
      </c>
      <c r="S9" s="183">
        <v>8</v>
      </c>
      <c r="T9" s="183">
        <v>8</v>
      </c>
      <c r="U9" s="183">
        <v>8</v>
      </c>
      <c r="V9" s="200"/>
      <c r="W9" s="200"/>
      <c r="X9" s="134">
        <f t="shared" si="6"/>
        <v>4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56</v>
      </c>
      <c r="G10" s="134">
        <f t="shared" si="5"/>
        <v>56</v>
      </c>
      <c r="H10" s="135">
        <v>0</v>
      </c>
      <c r="I10" s="200"/>
      <c r="J10" s="183">
        <v>8</v>
      </c>
      <c r="K10" s="244">
        <v>8</v>
      </c>
      <c r="L10" s="244">
        <v>8</v>
      </c>
      <c r="M10" s="244">
        <v>8</v>
      </c>
      <c r="N10" s="244">
        <v>8</v>
      </c>
      <c r="O10" s="200"/>
      <c r="P10" s="200"/>
      <c r="Q10" s="186"/>
      <c r="R10" s="186"/>
      <c r="S10" s="186"/>
      <c r="T10" s="183">
        <v>8</v>
      </c>
      <c r="U10" s="183">
        <v>8</v>
      </c>
      <c r="V10" s="200"/>
      <c r="W10" s="200"/>
      <c r="X10" s="134">
        <f t="shared" si="6"/>
        <v>3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408</v>
      </c>
      <c r="G15" s="224">
        <f t="shared" si="8"/>
        <v>408</v>
      </c>
      <c r="H15" s="224">
        <f t="shared" si="8"/>
        <v>0</v>
      </c>
      <c r="I15" s="224">
        <f t="shared" si="8"/>
        <v>0</v>
      </c>
      <c r="J15" s="224">
        <f t="shared" si="8"/>
        <v>48</v>
      </c>
      <c r="K15" s="224">
        <f t="shared" si="8"/>
        <v>32</v>
      </c>
      <c r="L15" s="224">
        <f t="shared" si="8"/>
        <v>40</v>
      </c>
      <c r="M15" s="224">
        <f t="shared" si="8"/>
        <v>40</v>
      </c>
      <c r="N15" s="224">
        <f t="shared" si="8"/>
        <v>40</v>
      </c>
      <c r="O15" s="224">
        <f t="shared" si="8"/>
        <v>0</v>
      </c>
      <c r="P15" s="224">
        <f t="shared" si="8"/>
        <v>0</v>
      </c>
      <c r="Q15" s="224">
        <f t="shared" si="8"/>
        <v>40</v>
      </c>
      <c r="R15" s="224">
        <f t="shared" si="8"/>
        <v>32</v>
      </c>
      <c r="S15" s="224">
        <f t="shared" si="8"/>
        <v>40</v>
      </c>
      <c r="T15" s="224">
        <f t="shared" si="8"/>
        <v>48</v>
      </c>
      <c r="U15" s="224">
        <f t="shared" si="8"/>
        <v>48</v>
      </c>
      <c r="V15" s="224">
        <f t="shared" si="8"/>
        <v>0</v>
      </c>
      <c r="W15" s="224">
        <f t="shared" si="8"/>
        <v>0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54" t="s">
        <v>1</v>
      </c>
      <c r="B18" s="254" t="s">
        <v>2</v>
      </c>
      <c r="C18" s="254" t="s">
        <v>3</v>
      </c>
      <c r="D18" s="254" t="s">
        <v>4</v>
      </c>
      <c r="E18" s="259" t="s">
        <v>5</v>
      </c>
      <c r="F18" s="255"/>
      <c r="G18" s="255"/>
      <c r="H18" s="255"/>
      <c r="I18" s="141">
        <f>W3+1</f>
        <v>46069</v>
      </c>
      <c r="J18" s="141">
        <f t="shared" ref="J18:U18" si="9">I18+1</f>
        <v>46070</v>
      </c>
      <c r="K18" s="141">
        <f t="shared" si="9"/>
        <v>46071</v>
      </c>
      <c r="L18" s="141">
        <f t="shared" si="9"/>
        <v>46072</v>
      </c>
      <c r="M18" s="141">
        <f t="shared" si="9"/>
        <v>46073</v>
      </c>
      <c r="N18" s="141">
        <f t="shared" si="9"/>
        <v>46074</v>
      </c>
      <c r="O18" s="141">
        <f t="shared" si="9"/>
        <v>46075</v>
      </c>
      <c r="P18" s="141">
        <f t="shared" si="9"/>
        <v>46076</v>
      </c>
      <c r="Q18" s="141">
        <f t="shared" si="9"/>
        <v>46077</v>
      </c>
      <c r="R18" s="141">
        <f t="shared" si="9"/>
        <v>46078</v>
      </c>
      <c r="S18" s="141">
        <f t="shared" si="9"/>
        <v>46079</v>
      </c>
      <c r="T18" s="141">
        <f t="shared" si="9"/>
        <v>46080</v>
      </c>
      <c r="U18" s="141">
        <f t="shared" si="9"/>
        <v>46081</v>
      </c>
      <c r="V18" s="141"/>
      <c r="W18" s="141"/>
      <c r="X18" s="141"/>
      <c r="Y18" s="254" t="s">
        <v>6</v>
      </c>
      <c r="Z18" s="254" t="s">
        <v>7</v>
      </c>
      <c r="AA18" s="209"/>
      <c r="AB18" s="114"/>
    </row>
    <row r="19" spans="1:29" ht="26.25" customHeight="1">
      <c r="A19" s="255"/>
      <c r="B19" s="255"/>
      <c r="C19" s="255"/>
      <c r="D19" s="255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U19" si="10">IF(I18="","",TEXT(WEEKDAY(I18), "ddd"))</f>
        <v>Mon</v>
      </c>
      <c r="J19" s="222" t="str">
        <f t="shared" si="10"/>
        <v>Tue</v>
      </c>
      <c r="K19" s="222" t="str">
        <f t="shared" si="10"/>
        <v>Wed</v>
      </c>
      <c r="L19" s="222" t="str">
        <f t="shared" si="10"/>
        <v>Thu</v>
      </c>
      <c r="M19" s="222" t="str">
        <f t="shared" si="10"/>
        <v>Fri</v>
      </c>
      <c r="N19" s="222" t="str">
        <f t="shared" si="10"/>
        <v>Sat</v>
      </c>
      <c r="O19" s="222" t="str">
        <f t="shared" si="10"/>
        <v>Sun</v>
      </c>
      <c r="P19" s="127" t="str">
        <f t="shared" si="10"/>
        <v>Mon</v>
      </c>
      <c r="Q19" s="127" t="str">
        <f t="shared" si="10"/>
        <v>Tue</v>
      </c>
      <c r="R19" s="222" t="str">
        <f t="shared" si="10"/>
        <v>Wed</v>
      </c>
      <c r="S19" s="222" t="str">
        <f t="shared" si="10"/>
        <v>Thu</v>
      </c>
      <c r="T19" s="222" t="str">
        <f t="shared" si="10"/>
        <v>Fri</v>
      </c>
      <c r="U19" s="222" t="str">
        <f t="shared" si="10"/>
        <v>Sat</v>
      </c>
      <c r="V19" s="222"/>
      <c r="W19" s="127"/>
      <c r="X19" s="127"/>
      <c r="Y19" s="255"/>
      <c r="Z19" s="255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80</v>
      </c>
      <c r="E20" s="134">
        <f t="shared" ref="E20:E25" si="12">Z20*8</f>
        <v>80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80">
        <v>8</v>
      </c>
      <c r="J20" s="183">
        <v>8</v>
      </c>
      <c r="K20" s="180">
        <v>8</v>
      </c>
      <c r="L20" s="180">
        <v>8</v>
      </c>
      <c r="M20" s="180">
        <v>8</v>
      </c>
      <c r="N20" s="199"/>
      <c r="O20" s="199"/>
      <c r="P20" s="180">
        <v>8</v>
      </c>
      <c r="Q20" s="183">
        <v>8</v>
      </c>
      <c r="R20" s="180">
        <v>8</v>
      </c>
      <c r="S20" s="183">
        <v>8</v>
      </c>
      <c r="T20" s="180">
        <v>8</v>
      </c>
      <c r="U20" s="199"/>
      <c r="V20" s="183"/>
      <c r="W20" s="183"/>
      <c r="X20" s="180"/>
      <c r="Y20" s="134">
        <f t="shared" ref="Y20:Y25" si="15">Z20-COUNTA(I20:X20)</f>
        <v>0</v>
      </c>
      <c r="Z20" s="136">
        <v>10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80</v>
      </c>
      <c r="E21" s="134">
        <f t="shared" si="12"/>
        <v>80</v>
      </c>
      <c r="F21" s="134">
        <f t="shared" si="13"/>
        <v>72</v>
      </c>
      <c r="G21" s="134">
        <f t="shared" si="14"/>
        <v>72</v>
      </c>
      <c r="H21" s="135">
        <v>0</v>
      </c>
      <c r="I21" s="180">
        <v>8</v>
      </c>
      <c r="J21" s="180">
        <v>8</v>
      </c>
      <c r="K21" s="180">
        <v>8</v>
      </c>
      <c r="L21" s="180">
        <v>8</v>
      </c>
      <c r="M21" s="180">
        <v>8</v>
      </c>
      <c r="N21" s="199"/>
      <c r="O21" s="200"/>
      <c r="P21" s="180">
        <v>8</v>
      </c>
      <c r="Q21" s="180">
        <v>8</v>
      </c>
      <c r="R21" s="183">
        <v>8</v>
      </c>
      <c r="S21" s="186"/>
      <c r="T21" s="180">
        <v>8</v>
      </c>
      <c r="U21" s="199"/>
      <c r="V21" s="183"/>
      <c r="W21" s="180"/>
      <c r="X21" s="180"/>
      <c r="Y21" s="134">
        <f t="shared" si="15"/>
        <v>1</v>
      </c>
      <c r="Z21" s="136">
        <v>10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80</v>
      </c>
      <c r="E22" s="134">
        <f t="shared" si="12"/>
        <v>80</v>
      </c>
      <c r="F22" s="134">
        <f t="shared" si="13"/>
        <v>64</v>
      </c>
      <c r="G22" s="134">
        <f t="shared" si="14"/>
        <v>64</v>
      </c>
      <c r="H22" s="135">
        <v>0</v>
      </c>
      <c r="I22" s="180">
        <v>8</v>
      </c>
      <c r="J22" s="180">
        <v>8</v>
      </c>
      <c r="K22" s="180">
        <v>8</v>
      </c>
      <c r="L22" s="186"/>
      <c r="M22" s="186"/>
      <c r="N22" s="199"/>
      <c r="O22" s="199"/>
      <c r="P22" s="180">
        <v>8</v>
      </c>
      <c r="Q22" s="180">
        <v>8</v>
      </c>
      <c r="R22" s="180">
        <v>8</v>
      </c>
      <c r="S22" s="180">
        <v>8</v>
      </c>
      <c r="T22" s="180">
        <v>8</v>
      </c>
      <c r="U22" s="199"/>
      <c r="V22" s="180"/>
      <c r="W22" s="180"/>
      <c r="X22" s="180"/>
      <c r="Y22" s="134">
        <f t="shared" si="15"/>
        <v>2</v>
      </c>
      <c r="Z22" s="136">
        <v>10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80</v>
      </c>
      <c r="E23" s="134">
        <f t="shared" si="12"/>
        <v>80</v>
      </c>
      <c r="F23" s="134">
        <f t="shared" si="13"/>
        <v>80</v>
      </c>
      <c r="G23" s="134">
        <f t="shared" si="14"/>
        <v>80</v>
      </c>
      <c r="H23" s="135">
        <v>0</v>
      </c>
      <c r="I23" s="180">
        <v>8</v>
      </c>
      <c r="J23" s="180">
        <v>8</v>
      </c>
      <c r="K23" s="180">
        <v>8</v>
      </c>
      <c r="L23" s="180">
        <v>8</v>
      </c>
      <c r="M23" s="180">
        <v>8</v>
      </c>
      <c r="N23" s="199"/>
      <c r="O23" s="200"/>
      <c r="P23" s="183">
        <v>8</v>
      </c>
      <c r="Q23" s="180">
        <v>8</v>
      </c>
      <c r="R23" s="183">
        <v>8</v>
      </c>
      <c r="S23" s="180">
        <v>8</v>
      </c>
      <c r="T23" s="180">
        <v>8</v>
      </c>
      <c r="U23" s="199"/>
      <c r="V23" s="183"/>
      <c r="W23" s="183"/>
      <c r="X23" s="180"/>
      <c r="Y23" s="134">
        <f t="shared" si="15"/>
        <v>0</v>
      </c>
      <c r="Z23" s="136">
        <v>10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80</v>
      </c>
      <c r="E24" s="134">
        <f t="shared" si="12"/>
        <v>80</v>
      </c>
      <c r="F24" s="134">
        <f t="shared" si="13"/>
        <v>80</v>
      </c>
      <c r="G24" s="134">
        <f t="shared" si="14"/>
        <v>80</v>
      </c>
      <c r="H24" s="135">
        <v>0</v>
      </c>
      <c r="I24" s="180">
        <v>8</v>
      </c>
      <c r="J24" s="180">
        <v>8</v>
      </c>
      <c r="K24" s="180">
        <v>8</v>
      </c>
      <c r="L24" s="180">
        <v>8</v>
      </c>
      <c r="M24" s="180">
        <v>8</v>
      </c>
      <c r="N24" s="199"/>
      <c r="O24" s="199"/>
      <c r="P24" s="183">
        <v>8</v>
      </c>
      <c r="Q24" s="180">
        <v>8</v>
      </c>
      <c r="R24" s="180">
        <v>8</v>
      </c>
      <c r="S24" s="180">
        <v>8</v>
      </c>
      <c r="T24" s="180">
        <v>8</v>
      </c>
      <c r="U24" s="199"/>
      <c r="V24" s="180"/>
      <c r="W24" s="180"/>
      <c r="X24" s="180"/>
      <c r="Y24" s="134">
        <f t="shared" si="15"/>
        <v>0</v>
      </c>
      <c r="Z24" s="136">
        <v>10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80</v>
      </c>
      <c r="E25" s="134">
        <f t="shared" si="12"/>
        <v>80</v>
      </c>
      <c r="F25" s="134">
        <f t="shared" si="13"/>
        <v>80</v>
      </c>
      <c r="G25" s="134">
        <f t="shared" si="14"/>
        <v>80</v>
      </c>
      <c r="H25" s="135">
        <v>0</v>
      </c>
      <c r="I25" s="183">
        <v>8</v>
      </c>
      <c r="J25" s="183">
        <v>8</v>
      </c>
      <c r="K25" s="183">
        <v>8</v>
      </c>
      <c r="L25" s="183">
        <v>8</v>
      </c>
      <c r="M25" s="183">
        <v>8</v>
      </c>
      <c r="N25" s="200"/>
      <c r="O25" s="200"/>
      <c r="P25" s="183">
        <v>8</v>
      </c>
      <c r="Q25" s="183">
        <v>8</v>
      </c>
      <c r="R25" s="183">
        <v>8</v>
      </c>
      <c r="S25" s="183">
        <v>8</v>
      </c>
      <c r="T25" s="183">
        <v>8</v>
      </c>
      <c r="U25" s="200"/>
      <c r="V25" s="183"/>
      <c r="W25" s="183"/>
      <c r="X25" s="180"/>
      <c r="Y25" s="134">
        <f t="shared" si="15"/>
        <v>0</v>
      </c>
      <c r="Z25" s="136">
        <v>10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480</v>
      </c>
      <c r="E30" s="224">
        <f t="shared" si="16"/>
        <v>480</v>
      </c>
      <c r="F30" s="224">
        <f t="shared" si="16"/>
        <v>456</v>
      </c>
      <c r="G30" s="224">
        <f t="shared" si="16"/>
        <v>456</v>
      </c>
      <c r="H30" s="224">
        <f t="shared" si="16"/>
        <v>0</v>
      </c>
      <c r="I30" s="224">
        <f t="shared" si="16"/>
        <v>48</v>
      </c>
      <c r="J30" s="224">
        <f t="shared" si="16"/>
        <v>48</v>
      </c>
      <c r="K30" s="224">
        <f t="shared" si="16"/>
        <v>48</v>
      </c>
      <c r="L30" s="224">
        <f t="shared" si="16"/>
        <v>40</v>
      </c>
      <c r="M30" s="224">
        <f t="shared" si="16"/>
        <v>40</v>
      </c>
      <c r="N30" s="224">
        <f t="shared" si="16"/>
        <v>0</v>
      </c>
      <c r="O30" s="224">
        <f t="shared" si="16"/>
        <v>0</v>
      </c>
      <c r="P30" s="224">
        <f t="shared" si="16"/>
        <v>48</v>
      </c>
      <c r="Q30" s="224">
        <f t="shared" si="16"/>
        <v>48</v>
      </c>
      <c r="R30" s="224">
        <f t="shared" si="16"/>
        <v>48</v>
      </c>
      <c r="S30" s="224">
        <f t="shared" si="16"/>
        <v>40</v>
      </c>
      <c r="T30" s="224">
        <f t="shared" si="16"/>
        <v>48</v>
      </c>
      <c r="U30" s="224">
        <f t="shared" si="16"/>
        <v>0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7">E5+E20</f>
        <v>160</v>
      </c>
      <c r="D34" s="155">
        <f t="shared" ref="D34:D39" si="18">B34</f>
        <v>160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136</v>
      </c>
      <c r="C35" s="154">
        <f t="shared" si="17"/>
        <v>160</v>
      </c>
      <c r="D35" s="155">
        <f t="shared" si="18"/>
        <v>136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144</v>
      </c>
      <c r="C36" s="154">
        <f t="shared" si="17"/>
        <v>160</v>
      </c>
      <c r="D36" s="155">
        <f t="shared" si="18"/>
        <v>144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7"/>
        <v>160</v>
      </c>
      <c r="D37" s="155">
        <f t="shared" si="18"/>
        <v>160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128</v>
      </c>
      <c r="C38" s="217">
        <f t="shared" si="17"/>
        <v>160</v>
      </c>
      <c r="D38" s="218">
        <f t="shared" si="18"/>
        <v>128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136</v>
      </c>
      <c r="C39" s="159">
        <f t="shared" si="17"/>
        <v>160</v>
      </c>
      <c r="D39" s="160">
        <f t="shared" si="18"/>
        <v>136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6" t="s">
        <v>0</v>
      </c>
      <c r="B46" s="257"/>
      <c r="C46" s="258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10</v>
      </c>
      <c r="C48" s="171">
        <f>B48*8</f>
        <v>80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6" t="s">
        <v>22</v>
      </c>
      <c r="B53" s="257"/>
      <c r="C53" s="258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10</v>
      </c>
      <c r="C55" s="171">
        <f t="shared" ref="C55:C56" si="21">B55*8</f>
        <v>80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10</v>
      </c>
      <c r="C57" s="173">
        <f t="shared" si="22"/>
        <v>80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160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4"/>
    <row r="261" s="115" customFormat="1" ht="14"/>
    <row r="262" s="115" customFormat="1" ht="14"/>
    <row r="263" s="115" customFormat="1" ht="14"/>
    <row r="264" s="115" customFormat="1" ht="14"/>
    <row r="265" s="115" customFormat="1" ht="14"/>
    <row r="266" s="115" customFormat="1" ht="14"/>
    <row r="267" s="115" customFormat="1" ht="14"/>
    <row r="268" s="115" customFormat="1" ht="14"/>
    <row r="269" s="115" customFormat="1" ht="14"/>
    <row r="270" s="115" customFormat="1" ht="14"/>
    <row r="271" s="115" customFormat="1" ht="14"/>
    <row r="272" s="115" customFormat="1" ht="14"/>
    <row r="273" s="115" customFormat="1" ht="14"/>
    <row r="274" s="115" customFormat="1" ht="14"/>
    <row r="275" s="115" customFormat="1" ht="14"/>
    <row r="276" s="115" customFormat="1" ht="14"/>
    <row r="277" s="115" customFormat="1" ht="14"/>
    <row r="278" s="115" customFormat="1" ht="14"/>
    <row r="279" s="115" customFormat="1" ht="14"/>
    <row r="280" s="115" customFormat="1" ht="14"/>
    <row r="281" s="115" customFormat="1" ht="14"/>
    <row r="282" s="115" customFormat="1" ht="14"/>
    <row r="283" s="115" customFormat="1" ht="14"/>
    <row r="284" s="115" customFormat="1" ht="14"/>
    <row r="285" s="115" customFormat="1" ht="14"/>
    <row r="286" s="115" customFormat="1" ht="14"/>
    <row r="287" s="115" customFormat="1" ht="14"/>
    <row r="288" s="115" customFormat="1" ht="14"/>
    <row r="289" s="115" customFormat="1" ht="14"/>
    <row r="290" s="115" customFormat="1" ht="14"/>
    <row r="291" s="115" customFormat="1" ht="14"/>
    <row r="292" s="115" customFormat="1" ht="14"/>
    <row r="293" s="115" customFormat="1" ht="14"/>
    <row r="294" s="115" customFormat="1" ht="14"/>
    <row r="295" s="115" customFormat="1" ht="14"/>
    <row r="296" s="115" customFormat="1" ht="14"/>
    <row r="297" s="115" customFormat="1" ht="14"/>
    <row r="298" s="115" customFormat="1" ht="14"/>
    <row r="299" s="115" customFormat="1" ht="14"/>
    <row r="300" s="115" customFormat="1" ht="14"/>
    <row r="301" s="115" customFormat="1" ht="14"/>
    <row r="302" s="115" customFormat="1" ht="14"/>
    <row r="303" s="115" customFormat="1" ht="14"/>
    <row r="304" s="115" customFormat="1" ht="14"/>
    <row r="305" s="115" customFormat="1" ht="14"/>
    <row r="306" s="115" customFormat="1" ht="14"/>
    <row r="307" s="115" customFormat="1" ht="14"/>
    <row r="308" s="115" customFormat="1" ht="14"/>
    <row r="309" s="115" customFormat="1" ht="14"/>
    <row r="310" s="115" customFormat="1" ht="14"/>
    <row r="311" s="115" customFormat="1" ht="14"/>
    <row r="312" s="115" customFormat="1" ht="14"/>
    <row r="313" s="115" customFormat="1" ht="14"/>
    <row r="314" s="115" customFormat="1" ht="14"/>
    <row r="315" s="115" customFormat="1" ht="14"/>
    <row r="316" s="115" customFormat="1" ht="14"/>
    <row r="317" s="115" customFormat="1" ht="14"/>
    <row r="318" s="115" customFormat="1" ht="14"/>
    <row r="319" s="115" customFormat="1" ht="14"/>
    <row r="320" s="115" customFormat="1" ht="14"/>
    <row r="321" s="115" customFormat="1" ht="14"/>
    <row r="322" s="115" customFormat="1" ht="14"/>
    <row r="323" s="115" customFormat="1" ht="14"/>
    <row r="324" s="115" customFormat="1" ht="14"/>
    <row r="325" s="115" customFormat="1" ht="14"/>
    <row r="326" s="115" customFormat="1" ht="14"/>
    <row r="327" s="115" customFormat="1" ht="14"/>
    <row r="328" s="115" customFormat="1" ht="14"/>
    <row r="329" s="115" customFormat="1" ht="14"/>
    <row r="330" s="115" customFormat="1" ht="14"/>
    <row r="331" s="115" customFormat="1" ht="14"/>
    <row r="332" s="115" customFormat="1" ht="14"/>
    <row r="333" s="115" customFormat="1" ht="14"/>
    <row r="334" s="115" customFormat="1" ht="14"/>
    <row r="335" s="115" customFormat="1" ht="14"/>
    <row r="336" s="115" customFormat="1" ht="14"/>
    <row r="337" s="115" customFormat="1" ht="14"/>
    <row r="338" s="115" customFormat="1" ht="14"/>
    <row r="339" s="115" customFormat="1" ht="14"/>
    <row r="340" s="115" customFormat="1" ht="14"/>
    <row r="341" s="115" customFormat="1" ht="14"/>
    <row r="342" s="115" customFormat="1" ht="14"/>
    <row r="343" s="115" customFormat="1" ht="14"/>
    <row r="344" s="115" customFormat="1" ht="14"/>
    <row r="345" s="115" customFormat="1" ht="14"/>
    <row r="346" s="115" customFormat="1" ht="14"/>
    <row r="347" s="115" customFormat="1" ht="14"/>
    <row r="348" s="115" customFormat="1" ht="14"/>
    <row r="349" s="115" customFormat="1" ht="14"/>
    <row r="350" s="115" customFormat="1" ht="14"/>
    <row r="351" s="115" customFormat="1" ht="14"/>
    <row r="352" s="115" customFormat="1" ht="14"/>
    <row r="353" s="115" customFormat="1" ht="14"/>
    <row r="354" s="115" customFormat="1" ht="14"/>
    <row r="355" s="115" customFormat="1" ht="14"/>
    <row r="356" s="115" customFormat="1" ht="14"/>
    <row r="357" s="115" customFormat="1" ht="14"/>
    <row r="358" s="115" customFormat="1" ht="14"/>
    <row r="359" s="115" customFormat="1" ht="14"/>
    <row r="360" s="115" customFormat="1" ht="14"/>
    <row r="361" s="115" customFormat="1" ht="14"/>
    <row r="362" s="115" customFormat="1" ht="14"/>
    <row r="363" s="115" customFormat="1" ht="14"/>
    <row r="364" s="115" customFormat="1" ht="14"/>
    <row r="365" s="115" customFormat="1" ht="14"/>
    <row r="366" s="115" customFormat="1" ht="14"/>
    <row r="367" s="115" customFormat="1" ht="14"/>
    <row r="368" s="115" customFormat="1" ht="14"/>
    <row r="369" s="115" customFormat="1" ht="14"/>
    <row r="370" s="115" customFormat="1" ht="14"/>
    <row r="371" s="115" customFormat="1" ht="14"/>
    <row r="372" s="115" customFormat="1" ht="14"/>
    <row r="373" s="115" customFormat="1" ht="14"/>
    <row r="374" s="115" customFormat="1" ht="14"/>
    <row r="375" s="115" customFormat="1" ht="14"/>
    <row r="376" s="115" customFormat="1" ht="14"/>
    <row r="377" s="115" customFormat="1" ht="14"/>
    <row r="378" s="115" customFormat="1" ht="14"/>
    <row r="379" s="115" customFormat="1" ht="14"/>
    <row r="380" s="115" customFormat="1" ht="14"/>
    <row r="381" s="115" customFormat="1" ht="14"/>
    <row r="382" s="115" customFormat="1" ht="14"/>
    <row r="383" s="115" customFormat="1" ht="14"/>
    <row r="384" s="115" customFormat="1" ht="14"/>
    <row r="385" s="115" customFormat="1" ht="14"/>
    <row r="386" s="115" customFormat="1" ht="14"/>
    <row r="387" s="115" customFormat="1" ht="14"/>
    <row r="388" s="115" customFormat="1" ht="14"/>
    <row r="389" s="115" customFormat="1" ht="14"/>
    <row r="390" s="115" customFormat="1" ht="14"/>
    <row r="391" s="115" customFormat="1" ht="14"/>
    <row r="392" s="115" customFormat="1" ht="14"/>
    <row r="393" s="115" customFormat="1" ht="14"/>
    <row r="394" s="115" customFormat="1" ht="14"/>
    <row r="395" s="115" customFormat="1" ht="14"/>
    <row r="396" s="115" customFormat="1" ht="14"/>
    <row r="397" s="115" customFormat="1" ht="14"/>
    <row r="398" s="115" customFormat="1" ht="14"/>
    <row r="399" s="115" customFormat="1" ht="14"/>
    <row r="400" s="115" customFormat="1" ht="14"/>
    <row r="401" s="115" customFormat="1" ht="14"/>
    <row r="402" s="115" customFormat="1" ht="14"/>
    <row r="403" s="115" customFormat="1" ht="14"/>
    <row r="404" s="115" customFormat="1" ht="14"/>
    <row r="405" s="115" customFormat="1" ht="14"/>
    <row r="406" s="115" customFormat="1" ht="14"/>
    <row r="407" s="115" customFormat="1" ht="14"/>
    <row r="408" s="115" customFormat="1" ht="14"/>
    <row r="409" s="115" customFormat="1" ht="14"/>
    <row r="410" s="115" customFormat="1" ht="14"/>
    <row r="411" s="115" customFormat="1" ht="14"/>
    <row r="412" s="115" customFormat="1" ht="14"/>
    <row r="413" s="115" customFormat="1" ht="14"/>
    <row r="414" s="115" customFormat="1" ht="14"/>
    <row r="415" s="115" customFormat="1" ht="14"/>
    <row r="416" s="115" customFormat="1" ht="14"/>
    <row r="417" s="115" customFormat="1" ht="14"/>
    <row r="418" s="115" customFormat="1" ht="14"/>
    <row r="419" s="115" customFormat="1" ht="14"/>
    <row r="420" s="115" customFormat="1" ht="14"/>
    <row r="421" s="115" customFormat="1" ht="14"/>
    <row r="422" s="115" customFormat="1" ht="14"/>
    <row r="423" s="115" customFormat="1" ht="14"/>
    <row r="424" s="115" customFormat="1" ht="14"/>
    <row r="425" s="115" customFormat="1" ht="14"/>
    <row r="426" s="115" customFormat="1" ht="14"/>
    <row r="427" s="115" customFormat="1" ht="14"/>
    <row r="428" s="115" customFormat="1" ht="14"/>
    <row r="429" s="115" customFormat="1" ht="14"/>
    <row r="430" s="115" customFormat="1" ht="14"/>
    <row r="431" s="115" customFormat="1" ht="14"/>
    <row r="432" s="115" customFormat="1" ht="14"/>
    <row r="433" s="115" customFormat="1" ht="14"/>
    <row r="434" s="115" customFormat="1" ht="14"/>
    <row r="435" s="115" customFormat="1" ht="14"/>
    <row r="436" s="115" customFormat="1" ht="14"/>
    <row r="437" s="115" customFormat="1" ht="14"/>
    <row r="438" s="115" customFormat="1" ht="14"/>
    <row r="439" s="115" customFormat="1" ht="14"/>
    <row r="440" s="115" customFormat="1" ht="14"/>
    <row r="441" s="115" customFormat="1" ht="14"/>
    <row r="442" s="115" customFormat="1" ht="14"/>
    <row r="443" s="115" customFormat="1" ht="14"/>
    <row r="444" s="115" customFormat="1" ht="14"/>
    <row r="445" s="115" customFormat="1" ht="14"/>
    <row r="446" s="115" customFormat="1" ht="14"/>
    <row r="447" s="115" customFormat="1" ht="14"/>
    <row r="448" s="115" customFormat="1" ht="14"/>
    <row r="449" s="115" customFormat="1" ht="14"/>
    <row r="450" s="115" customFormat="1" ht="14"/>
    <row r="451" s="115" customFormat="1" ht="14"/>
    <row r="452" s="115" customFormat="1" ht="14"/>
    <row r="453" s="115" customFormat="1" ht="14"/>
    <row r="454" s="115" customFormat="1" ht="14"/>
    <row r="455" s="115" customFormat="1" ht="14"/>
    <row r="456" s="115" customFormat="1" ht="14"/>
    <row r="457" s="115" customFormat="1" ht="14"/>
    <row r="458" s="115" customFormat="1" ht="14"/>
    <row r="459" s="115" customFormat="1" ht="14"/>
    <row r="460" s="115" customFormat="1" ht="14"/>
    <row r="461" s="115" customFormat="1" ht="14"/>
    <row r="462" s="115" customFormat="1" ht="14"/>
    <row r="463" s="115" customFormat="1" ht="14"/>
    <row r="464" s="115" customFormat="1" ht="14"/>
    <row r="465" s="115" customFormat="1" ht="14"/>
    <row r="466" s="115" customFormat="1" ht="14"/>
    <row r="467" s="115" customFormat="1" ht="14"/>
    <row r="468" s="115" customFormat="1" ht="14"/>
    <row r="469" s="115" customFormat="1" ht="14"/>
    <row r="470" s="115" customFormat="1" ht="14"/>
    <row r="471" s="115" customFormat="1" ht="14"/>
    <row r="472" s="115" customFormat="1" ht="14"/>
    <row r="473" s="115" customFormat="1" ht="14"/>
    <row r="474" s="115" customFormat="1" ht="14"/>
    <row r="475" s="115" customFormat="1" ht="14"/>
    <row r="476" s="115" customFormat="1" ht="14"/>
    <row r="477" s="115" customFormat="1" ht="14"/>
    <row r="478" s="115" customFormat="1" ht="14"/>
    <row r="479" s="115" customFormat="1" ht="14"/>
    <row r="480" s="115" customFormat="1" ht="14"/>
    <row r="481" s="115" customFormat="1" ht="14"/>
    <row r="482" s="115" customFormat="1" ht="14"/>
    <row r="483" s="115" customFormat="1" ht="14"/>
    <row r="484" s="115" customFormat="1" ht="14"/>
    <row r="485" s="115" customFormat="1" ht="14"/>
    <row r="486" s="115" customFormat="1" ht="14"/>
    <row r="487" s="115" customFormat="1" ht="14"/>
    <row r="488" s="115" customFormat="1" ht="14"/>
    <row r="489" s="115" customFormat="1" ht="14"/>
    <row r="490" s="115" customFormat="1" ht="14"/>
    <row r="491" s="115" customFormat="1" ht="14"/>
    <row r="492" s="115" customFormat="1" ht="14"/>
    <row r="493" s="115" customFormat="1" ht="14"/>
    <row r="494" s="115" customFormat="1" ht="14"/>
    <row r="495" s="115" customFormat="1" ht="14"/>
    <row r="496" s="115" customFormat="1" ht="14"/>
    <row r="497" s="115" customFormat="1" ht="14"/>
    <row r="498" s="115" customFormat="1" ht="14"/>
    <row r="499" s="115" customFormat="1" ht="14"/>
    <row r="500" s="115" customFormat="1" ht="14"/>
    <row r="501" s="115" customFormat="1" ht="14"/>
    <row r="502" s="115" customFormat="1" ht="14"/>
    <row r="503" s="115" customFormat="1" ht="14"/>
    <row r="504" s="115" customFormat="1" ht="14"/>
    <row r="505" s="115" customFormat="1" ht="14"/>
    <row r="506" s="115" customFormat="1" ht="14"/>
    <row r="507" s="115" customFormat="1" ht="14"/>
    <row r="508" s="115" customFormat="1" ht="14"/>
    <row r="509" s="115" customFormat="1" ht="14"/>
    <row r="510" s="115" customFormat="1" ht="14"/>
    <row r="511" s="115" customFormat="1" ht="14"/>
    <row r="512" s="115" customFormat="1" ht="14"/>
    <row r="513" s="115" customFormat="1" ht="14"/>
    <row r="514" s="115" customFormat="1" ht="14"/>
    <row r="515" s="115" customFormat="1" ht="14"/>
    <row r="516" s="115" customFormat="1" ht="14"/>
    <row r="517" s="115" customFormat="1" ht="14"/>
    <row r="518" s="115" customFormat="1" ht="14"/>
    <row r="519" s="115" customFormat="1" ht="14"/>
    <row r="520" s="115" customFormat="1" ht="14"/>
    <row r="521" s="115" customFormat="1" ht="14"/>
    <row r="522" s="115" customFormat="1" ht="14"/>
    <row r="523" s="115" customFormat="1" ht="14"/>
    <row r="524" s="115" customFormat="1" ht="14"/>
    <row r="525" s="115" customFormat="1" ht="14"/>
    <row r="526" s="115" customFormat="1" ht="14"/>
    <row r="527" s="115" customFormat="1" ht="14"/>
    <row r="528" s="115" customFormat="1" ht="14"/>
    <row r="529" s="115" customFormat="1" ht="14"/>
    <row r="530" s="115" customFormat="1" ht="14"/>
    <row r="531" s="115" customFormat="1" ht="14"/>
    <row r="532" s="115" customFormat="1" ht="14"/>
    <row r="533" s="115" customFormat="1" ht="14"/>
    <row r="534" s="115" customFormat="1" ht="14"/>
    <row r="535" s="115" customFormat="1" ht="14"/>
    <row r="536" s="115" customFormat="1" ht="14"/>
    <row r="537" s="115" customFormat="1" ht="14"/>
    <row r="538" s="115" customFormat="1" ht="14"/>
    <row r="539" s="115" customFormat="1" ht="14"/>
    <row r="540" s="115" customFormat="1" ht="14"/>
    <row r="541" s="115" customFormat="1" ht="14"/>
    <row r="542" s="115" customFormat="1" ht="14"/>
    <row r="543" s="115" customFormat="1" ht="14"/>
    <row r="544" s="115" customFormat="1" ht="14"/>
    <row r="545" s="115" customFormat="1" ht="14"/>
    <row r="546" s="115" customFormat="1" ht="14"/>
    <row r="547" s="115" customFormat="1" ht="14"/>
    <row r="548" s="115" customFormat="1" ht="14"/>
    <row r="549" s="115" customFormat="1" ht="14"/>
    <row r="550" s="115" customFormat="1" ht="14"/>
    <row r="551" s="115" customFormat="1" ht="14"/>
    <row r="552" s="115" customFormat="1" ht="14"/>
    <row r="553" s="115" customFormat="1" ht="14"/>
    <row r="554" s="115" customFormat="1" ht="14"/>
    <row r="555" s="115" customFormat="1" ht="14"/>
    <row r="556" s="115" customFormat="1" ht="14"/>
    <row r="557" s="115" customFormat="1" ht="14"/>
    <row r="558" s="115" customFormat="1" ht="14"/>
    <row r="559" s="115" customFormat="1" ht="14"/>
    <row r="560" s="115" customFormat="1" ht="14"/>
    <row r="561" s="115" customFormat="1" ht="14"/>
    <row r="562" s="115" customFormat="1" ht="14"/>
    <row r="563" s="115" customFormat="1" ht="14"/>
    <row r="564" s="115" customFormat="1" ht="14"/>
    <row r="565" s="115" customFormat="1" ht="14"/>
    <row r="566" s="115" customFormat="1" ht="14"/>
    <row r="567" s="115" customFormat="1" ht="14"/>
    <row r="568" s="115" customFormat="1" ht="14"/>
    <row r="569" s="115" customFormat="1" ht="14"/>
    <row r="570" s="115" customFormat="1" ht="14"/>
    <row r="571" s="115" customFormat="1" ht="14"/>
    <row r="572" s="115" customFormat="1" ht="14"/>
    <row r="573" s="115" customFormat="1" ht="14"/>
    <row r="574" s="115" customFormat="1" ht="14"/>
    <row r="575" s="115" customFormat="1" ht="14"/>
    <row r="576" s="115" customFormat="1" ht="14"/>
    <row r="577" s="115" customFormat="1" ht="14"/>
    <row r="578" s="115" customFormat="1" ht="14"/>
    <row r="579" s="115" customFormat="1" ht="14"/>
    <row r="580" s="115" customFormat="1" ht="14"/>
    <row r="581" s="115" customFormat="1" ht="14"/>
    <row r="582" s="115" customFormat="1" ht="14"/>
    <row r="583" s="115" customFormat="1" ht="14"/>
    <row r="584" s="115" customFormat="1" ht="14"/>
    <row r="585" s="115" customFormat="1" ht="14"/>
    <row r="586" s="115" customFormat="1" ht="14"/>
    <row r="587" s="115" customFormat="1" ht="14"/>
    <row r="588" s="115" customFormat="1" ht="14"/>
    <row r="589" s="115" customFormat="1" ht="14"/>
    <row r="590" s="115" customFormat="1" ht="14"/>
    <row r="591" s="115" customFormat="1" ht="14"/>
    <row r="592" s="115" customFormat="1" ht="14"/>
    <row r="593" s="115" customFormat="1" ht="14"/>
    <row r="594" s="115" customFormat="1" ht="14"/>
    <row r="595" s="115" customFormat="1" ht="14"/>
    <row r="596" s="115" customFormat="1" ht="14"/>
    <row r="597" s="115" customFormat="1" ht="14"/>
    <row r="598" s="115" customFormat="1" ht="14"/>
    <row r="599" s="115" customFormat="1" ht="14"/>
    <row r="600" s="115" customFormat="1" ht="14"/>
    <row r="601" s="115" customFormat="1" ht="14"/>
    <row r="602" s="115" customFormat="1" ht="14"/>
    <row r="603" s="115" customFormat="1" ht="14"/>
    <row r="604" s="115" customFormat="1" ht="14"/>
    <row r="605" s="115" customFormat="1" ht="14"/>
    <row r="606" s="115" customFormat="1" ht="14"/>
    <row r="607" s="115" customFormat="1" ht="14"/>
    <row r="608" s="115" customFormat="1" ht="14"/>
    <row r="609" s="115" customFormat="1" ht="14"/>
    <row r="610" s="115" customFormat="1" ht="14"/>
    <row r="611" s="115" customFormat="1" ht="14"/>
    <row r="612" s="115" customFormat="1" ht="14"/>
    <row r="613" s="115" customFormat="1" ht="14"/>
    <row r="614" s="115" customFormat="1" ht="14"/>
    <row r="615" s="115" customFormat="1" ht="14"/>
    <row r="616" s="115" customFormat="1" ht="14"/>
    <row r="617" s="115" customFormat="1" ht="14"/>
    <row r="618" s="115" customFormat="1" ht="14"/>
    <row r="619" s="115" customFormat="1" ht="14"/>
    <row r="620" s="115" customFormat="1" ht="14"/>
    <row r="621" s="115" customFormat="1" ht="14"/>
    <row r="622" s="115" customFormat="1" ht="14"/>
    <row r="623" s="115" customFormat="1" ht="14"/>
    <row r="624" s="115" customFormat="1" ht="14"/>
    <row r="625" s="115" customFormat="1" ht="14"/>
    <row r="626" s="115" customFormat="1" ht="14"/>
    <row r="627" s="115" customFormat="1" ht="14"/>
    <row r="628" s="115" customFormat="1" ht="14"/>
    <row r="629" s="115" customFormat="1" ht="14"/>
    <row r="630" s="115" customFormat="1" ht="14"/>
    <row r="631" s="115" customFormat="1" ht="14"/>
    <row r="632" s="115" customFormat="1" ht="14"/>
    <row r="633" s="115" customFormat="1" ht="14"/>
    <row r="634" s="115" customFormat="1" ht="14"/>
    <row r="635" s="115" customFormat="1" ht="14"/>
    <row r="636" s="115" customFormat="1" ht="14"/>
    <row r="637" s="115" customFormat="1" ht="14"/>
    <row r="638" s="115" customFormat="1" ht="14"/>
    <row r="639" s="115" customFormat="1" ht="14"/>
    <row r="640" s="115" customFormat="1" ht="14"/>
    <row r="641" s="115" customFormat="1" ht="14"/>
    <row r="642" s="115" customFormat="1" ht="14"/>
    <row r="643" s="115" customFormat="1" ht="14"/>
    <row r="644" s="115" customFormat="1" ht="14"/>
    <row r="645" s="115" customFormat="1" ht="14"/>
    <row r="646" s="115" customFormat="1" ht="14"/>
    <row r="647" s="115" customFormat="1" ht="14"/>
    <row r="648" s="115" customFormat="1" ht="14"/>
    <row r="649" s="115" customFormat="1" ht="14"/>
    <row r="650" s="115" customFormat="1" ht="14"/>
    <row r="651" s="115" customFormat="1" ht="14"/>
    <row r="652" s="115" customFormat="1" ht="14"/>
    <row r="653" s="115" customFormat="1" ht="14"/>
    <row r="654" s="115" customFormat="1" ht="14"/>
    <row r="655" s="115" customFormat="1" ht="14"/>
    <row r="656" s="115" customFormat="1" ht="14"/>
    <row r="657" s="115" customFormat="1" ht="14"/>
    <row r="658" s="115" customFormat="1" ht="14"/>
    <row r="659" s="115" customFormat="1" ht="14"/>
    <row r="660" s="115" customFormat="1" ht="14"/>
    <row r="661" s="115" customFormat="1" ht="14"/>
    <row r="662" s="115" customFormat="1" ht="14"/>
    <row r="663" s="115" customFormat="1" ht="14"/>
    <row r="664" s="115" customFormat="1" ht="14"/>
    <row r="665" s="115" customFormat="1" ht="14"/>
    <row r="666" s="115" customFormat="1" ht="14"/>
    <row r="667" s="115" customFormat="1" ht="14"/>
    <row r="668" s="115" customFormat="1" ht="14"/>
    <row r="669" s="115" customFormat="1" ht="14"/>
    <row r="670" s="115" customFormat="1" ht="14"/>
    <row r="671" s="115" customFormat="1" ht="14"/>
    <row r="672" s="115" customFormat="1" ht="14"/>
    <row r="673" s="115" customFormat="1" ht="14"/>
    <row r="674" s="115" customFormat="1" ht="14"/>
    <row r="675" s="115" customFormat="1" ht="14"/>
    <row r="676" s="115" customFormat="1" ht="14"/>
    <row r="677" s="115" customFormat="1" ht="14"/>
    <row r="678" s="115" customFormat="1" ht="14"/>
    <row r="679" s="115" customFormat="1" ht="14"/>
    <row r="680" s="115" customFormat="1" ht="14"/>
    <row r="681" s="115" customFormat="1" ht="14"/>
    <row r="682" s="115" customFormat="1" ht="14"/>
    <row r="683" s="115" customFormat="1" ht="14"/>
    <row r="684" s="115" customFormat="1" ht="14"/>
    <row r="685" s="115" customFormat="1" ht="14"/>
    <row r="686" s="115" customFormat="1" ht="14"/>
    <row r="687" s="115" customFormat="1" ht="14"/>
    <row r="688" s="115" customFormat="1" ht="14"/>
    <row r="689" s="115" customFormat="1" ht="14"/>
    <row r="690" s="115" customFormat="1" ht="14"/>
    <row r="691" s="115" customFormat="1" ht="14"/>
    <row r="692" s="115" customFormat="1" ht="14"/>
    <row r="693" s="115" customFormat="1" ht="14"/>
    <row r="694" s="115" customFormat="1" ht="14"/>
    <row r="695" s="115" customFormat="1" ht="14"/>
    <row r="696" s="115" customFormat="1" ht="14"/>
    <row r="697" s="115" customFormat="1" ht="14"/>
    <row r="698" s="115" customFormat="1" ht="14"/>
    <row r="699" s="115" customFormat="1" ht="14"/>
    <row r="700" s="115" customFormat="1" ht="14"/>
    <row r="701" s="115" customFormat="1" ht="14"/>
    <row r="702" s="115" customFormat="1" ht="14"/>
    <row r="703" s="115" customFormat="1" ht="14"/>
    <row r="704" s="115" customFormat="1" ht="14"/>
    <row r="705" s="115" customFormat="1" ht="14"/>
    <row r="706" s="115" customFormat="1" ht="14"/>
    <row r="707" s="115" customFormat="1" ht="14"/>
    <row r="708" s="115" customFormat="1" ht="14"/>
    <row r="709" s="115" customFormat="1" ht="14"/>
    <row r="710" s="115" customFormat="1" ht="14"/>
    <row r="711" s="115" customFormat="1" ht="14"/>
    <row r="712" s="115" customFormat="1" ht="14"/>
    <row r="713" s="115" customFormat="1" ht="14"/>
    <row r="714" s="115" customFormat="1" ht="14"/>
    <row r="715" s="115" customFormat="1" ht="14"/>
    <row r="716" s="115" customFormat="1" ht="14"/>
    <row r="717" s="115" customFormat="1" ht="14"/>
    <row r="718" s="115" customFormat="1" ht="14"/>
    <row r="719" s="115" customFormat="1" ht="14"/>
    <row r="720" s="115" customFormat="1" ht="14"/>
    <row r="721" s="115" customFormat="1" ht="14"/>
    <row r="722" s="115" customFormat="1" ht="14"/>
    <row r="723" s="115" customFormat="1" ht="14"/>
    <row r="724" s="115" customFormat="1" ht="14"/>
    <row r="725" s="115" customFormat="1" ht="14"/>
    <row r="726" s="115" customFormat="1" ht="14"/>
    <row r="727" s="115" customFormat="1" ht="14"/>
    <row r="728" s="115" customFormat="1" ht="14"/>
    <row r="729" s="115" customFormat="1" ht="14"/>
    <row r="730" s="115" customFormat="1" ht="14"/>
    <row r="731" s="115" customFormat="1" ht="14"/>
    <row r="732" s="115" customFormat="1" ht="14"/>
    <row r="733" s="115" customFormat="1" ht="14"/>
    <row r="734" s="115" customFormat="1" ht="14"/>
    <row r="735" s="115" customFormat="1" ht="14"/>
    <row r="736" s="115" customFormat="1" ht="14"/>
    <row r="737" s="115" customFormat="1" ht="14"/>
    <row r="738" s="115" customFormat="1" ht="14"/>
    <row r="739" s="115" customFormat="1" ht="14"/>
    <row r="740" s="115" customFormat="1" ht="14"/>
    <row r="741" s="115" customFormat="1" ht="14"/>
    <row r="742" s="115" customFormat="1" ht="14"/>
    <row r="743" s="115" customFormat="1" ht="14"/>
    <row r="744" s="115" customFormat="1" ht="14"/>
    <row r="745" s="115" customFormat="1" ht="14"/>
    <row r="746" s="115" customFormat="1" ht="14"/>
    <row r="747" s="115" customFormat="1" ht="14"/>
    <row r="748" s="115" customFormat="1" ht="14"/>
    <row r="749" s="115" customFormat="1" ht="14"/>
    <row r="750" s="115" customFormat="1" ht="14"/>
    <row r="751" s="115" customFormat="1" ht="14"/>
    <row r="752" s="115" customFormat="1" ht="14"/>
    <row r="753" s="115" customFormat="1" ht="14"/>
    <row r="754" s="115" customFormat="1" ht="14"/>
    <row r="755" s="115" customFormat="1" ht="14"/>
    <row r="756" s="115" customFormat="1" ht="14"/>
    <row r="757" s="115" customFormat="1" ht="14"/>
    <row r="758" s="115" customFormat="1" ht="14"/>
    <row r="759" s="115" customFormat="1" ht="14"/>
    <row r="760" s="115" customFormat="1" ht="14"/>
    <row r="761" s="115" customFormat="1" ht="14"/>
    <row r="762" s="115" customFormat="1" ht="14"/>
    <row r="763" s="115" customFormat="1" ht="14"/>
    <row r="764" s="115" customFormat="1" ht="14"/>
    <row r="765" s="115" customFormat="1" ht="14"/>
    <row r="766" s="115" customFormat="1" ht="14"/>
    <row r="767" s="115" customFormat="1" ht="14"/>
    <row r="768" s="115" customFormat="1" ht="14"/>
    <row r="769" s="115" customFormat="1" ht="14"/>
    <row r="770" s="115" customFormat="1" ht="14"/>
    <row r="771" s="115" customFormat="1" ht="14"/>
    <row r="772" s="115" customFormat="1" ht="14"/>
    <row r="773" s="115" customFormat="1" ht="14"/>
    <row r="774" s="115" customFormat="1" ht="14"/>
    <row r="775" s="115" customFormat="1" ht="14"/>
    <row r="776" s="115" customFormat="1" ht="14"/>
    <row r="777" s="115" customFormat="1" ht="14"/>
    <row r="778" s="115" customFormat="1" ht="14"/>
    <row r="779" s="115" customFormat="1" ht="14"/>
    <row r="780" s="115" customFormat="1" ht="14"/>
    <row r="781" s="115" customFormat="1" ht="14"/>
    <row r="782" s="115" customFormat="1" ht="14"/>
    <row r="783" s="115" customFormat="1" ht="14"/>
    <row r="784" s="115" customFormat="1" ht="14"/>
    <row r="785" s="115" customFormat="1" ht="14"/>
    <row r="786" s="115" customFormat="1" ht="14"/>
    <row r="787" s="115" customFormat="1" ht="14"/>
    <row r="788" s="115" customFormat="1" ht="14"/>
    <row r="789" s="115" customFormat="1" ht="14"/>
    <row r="790" s="115" customFormat="1" ht="14"/>
    <row r="791" s="115" customFormat="1" ht="14"/>
    <row r="792" s="115" customFormat="1" ht="14"/>
    <row r="793" s="115" customFormat="1" ht="14"/>
    <row r="794" s="115" customFormat="1" ht="14"/>
    <row r="795" s="115" customFormat="1" ht="14"/>
    <row r="796" s="115" customFormat="1" ht="14"/>
    <row r="797" s="115" customFormat="1" ht="14"/>
    <row r="798" s="115" customFormat="1" ht="14"/>
    <row r="799" s="115" customFormat="1" ht="14"/>
    <row r="800" s="115" customFormat="1" ht="14"/>
    <row r="801" s="115" customFormat="1" ht="14"/>
    <row r="802" s="115" customFormat="1" ht="14"/>
    <row r="803" s="115" customFormat="1" ht="14"/>
    <row r="804" s="115" customFormat="1" ht="14"/>
    <row r="805" s="115" customFormat="1" ht="14"/>
    <row r="806" s="115" customFormat="1" ht="14"/>
    <row r="807" s="115" customFormat="1" ht="14"/>
    <row r="808" s="115" customFormat="1" ht="14"/>
    <row r="809" s="115" customFormat="1" ht="14"/>
    <row r="810" s="115" customFormat="1" ht="14"/>
    <row r="811" s="115" customFormat="1" ht="14"/>
    <row r="812" s="115" customFormat="1" ht="14"/>
    <row r="813" s="115" customFormat="1" ht="14"/>
    <row r="814" s="115" customFormat="1" ht="14"/>
    <row r="815" s="115" customFormat="1" ht="14"/>
    <row r="816" s="115" customFormat="1" ht="14"/>
    <row r="817" s="115" customFormat="1" ht="14"/>
    <row r="818" s="115" customFormat="1" ht="14"/>
    <row r="819" s="115" customFormat="1" ht="14"/>
    <row r="820" s="115" customFormat="1" ht="14"/>
    <row r="821" s="115" customFormat="1" ht="14"/>
    <row r="822" s="115" customFormat="1" ht="14"/>
    <row r="823" s="115" customFormat="1" ht="14"/>
    <row r="824" s="115" customFormat="1" ht="14"/>
    <row r="825" s="115" customFormat="1" ht="14"/>
    <row r="826" s="115" customFormat="1" ht="14"/>
    <row r="827" s="115" customFormat="1" ht="14"/>
    <row r="828" s="115" customFormat="1" ht="14"/>
    <row r="829" s="115" customFormat="1" ht="14"/>
    <row r="830" s="115" customFormat="1" ht="14"/>
    <row r="831" s="115" customFormat="1" ht="14"/>
    <row r="832" s="115" customFormat="1" ht="14"/>
    <row r="833" s="115" customFormat="1" ht="14"/>
    <row r="834" s="115" customFormat="1" ht="14"/>
    <row r="835" s="115" customFormat="1" ht="14"/>
    <row r="836" s="115" customFormat="1" ht="14"/>
    <row r="837" s="115" customFormat="1" ht="14"/>
    <row r="838" s="115" customFormat="1" ht="14"/>
    <row r="839" s="115" customFormat="1" ht="14"/>
    <row r="840" s="115" customFormat="1" ht="14"/>
    <row r="841" s="115" customFormat="1" ht="14"/>
    <row r="842" s="115" customFormat="1" ht="14"/>
    <row r="843" s="115" customFormat="1" ht="14"/>
    <row r="844" s="115" customFormat="1" ht="14"/>
    <row r="845" s="115" customFormat="1" ht="14"/>
    <row r="846" s="115" customFormat="1" ht="14"/>
    <row r="847" s="115" customFormat="1" ht="14"/>
    <row r="848" s="115" customFormat="1" ht="14"/>
    <row r="849" s="115" customFormat="1" ht="14"/>
    <row r="850" s="115" customFormat="1" ht="14"/>
    <row r="851" s="115" customFormat="1" ht="14"/>
    <row r="852" s="115" customFormat="1" ht="14"/>
    <row r="853" s="115" customFormat="1" ht="14"/>
    <row r="854" s="115" customFormat="1" ht="14"/>
    <row r="855" s="115" customFormat="1" ht="14"/>
    <row r="856" s="115" customFormat="1" ht="14"/>
    <row r="857" s="115" customFormat="1" ht="14"/>
    <row r="858" s="115" customFormat="1" ht="14"/>
    <row r="859" s="115" customFormat="1" ht="14"/>
    <row r="860" s="115" customFormat="1" ht="14"/>
    <row r="861" s="115" customFormat="1" ht="14"/>
    <row r="862" s="115" customFormat="1" ht="14"/>
    <row r="863" s="115" customFormat="1" ht="14"/>
    <row r="864" s="115" customFormat="1" ht="14"/>
    <row r="865" s="115" customFormat="1" ht="14"/>
    <row r="866" s="115" customFormat="1" ht="14"/>
    <row r="867" s="115" customFormat="1" ht="14"/>
    <row r="868" s="115" customFormat="1" ht="14"/>
    <row r="869" s="115" customFormat="1" ht="14"/>
    <row r="870" s="115" customFormat="1" ht="14"/>
    <row r="871" s="115" customFormat="1" ht="14"/>
    <row r="872" s="115" customFormat="1" ht="14"/>
    <row r="873" s="115" customFormat="1" ht="14"/>
    <row r="874" s="115" customFormat="1" ht="14"/>
    <row r="875" s="115" customFormat="1" ht="14"/>
    <row r="876" s="115" customFormat="1" ht="14"/>
    <row r="877" s="115" customFormat="1" ht="14"/>
    <row r="878" s="115" customFormat="1" ht="14"/>
    <row r="879" s="115" customFormat="1" ht="14"/>
    <row r="880" s="115" customFormat="1" ht="14"/>
    <row r="881" s="115" customFormat="1" ht="14"/>
    <row r="882" s="115" customFormat="1" ht="14"/>
    <row r="883" s="115" customFormat="1" ht="14"/>
    <row r="884" s="115" customFormat="1" ht="14"/>
    <row r="885" s="115" customFormat="1" ht="14"/>
    <row r="886" s="115" customFormat="1" ht="14"/>
    <row r="887" s="115" customFormat="1" ht="14"/>
    <row r="888" s="115" customFormat="1" ht="14"/>
    <row r="889" s="115" customFormat="1" ht="14"/>
    <row r="890" s="115" customFormat="1" ht="14"/>
    <row r="891" s="115" customFormat="1" ht="14"/>
    <row r="892" s="115" customFormat="1" ht="14"/>
    <row r="893" s="115" customFormat="1" ht="14"/>
    <row r="894" s="115" customFormat="1" ht="14"/>
    <row r="895" s="115" customFormat="1" ht="14"/>
    <row r="896" s="115" customFormat="1" ht="14"/>
    <row r="897" s="115" customFormat="1" ht="14"/>
    <row r="898" s="115" customFormat="1" ht="14"/>
    <row r="899" s="115" customFormat="1" ht="14"/>
    <row r="900" s="115" customFormat="1" ht="14"/>
    <row r="901" s="115" customFormat="1" ht="14"/>
    <row r="902" s="115" customFormat="1" ht="14"/>
    <row r="903" s="115" customFormat="1" ht="14"/>
    <row r="904" s="115" customFormat="1" ht="14"/>
    <row r="905" s="115" customFormat="1" ht="14"/>
    <row r="906" s="115" customFormat="1" ht="14"/>
    <row r="907" s="115" customFormat="1" ht="14"/>
    <row r="908" s="115" customFormat="1" ht="14"/>
    <row r="909" s="115" customFormat="1" ht="14"/>
    <row r="910" s="115" customFormat="1" ht="14"/>
    <row r="911" s="115" customFormat="1" ht="14"/>
    <row r="912" s="115" customFormat="1" ht="14"/>
    <row r="913" s="115" customFormat="1" ht="14"/>
    <row r="914" s="115" customFormat="1" ht="14"/>
    <row r="915" s="115" customFormat="1" ht="14"/>
    <row r="916" s="115" customFormat="1" ht="14"/>
    <row r="917" s="115" customFormat="1" ht="14"/>
    <row r="918" s="115" customFormat="1" ht="14"/>
    <row r="919" s="115" customFormat="1" ht="14"/>
    <row r="920" s="115" customFormat="1" ht="14"/>
    <row r="921" s="115" customFormat="1" ht="14"/>
    <row r="922" s="115" customFormat="1" ht="14"/>
    <row r="923" s="115" customFormat="1" ht="14"/>
    <row r="924" s="115" customFormat="1" ht="14"/>
    <row r="925" s="115" customFormat="1" ht="14"/>
    <row r="926" s="115" customFormat="1" ht="14"/>
    <row r="927" s="115" customFormat="1" ht="14"/>
    <row r="928" s="115" customFormat="1" ht="14"/>
    <row r="929" s="115" customFormat="1" ht="14"/>
    <row r="930" s="115" customFormat="1" ht="14"/>
    <row r="931" s="115" customFormat="1" ht="14"/>
    <row r="932" s="115" customFormat="1" ht="14"/>
    <row r="933" s="115" customFormat="1" ht="14"/>
    <row r="934" s="115" customFormat="1" ht="14"/>
    <row r="935" s="115" customFormat="1" ht="14"/>
    <row r="936" s="115" customFormat="1" ht="14"/>
    <row r="937" s="115" customFormat="1" ht="14"/>
    <row r="938" s="115" customFormat="1" ht="14"/>
    <row r="939" s="115" customFormat="1" ht="14"/>
    <row r="940" s="115" customFormat="1" ht="14"/>
    <row r="941" s="115" customFormat="1" ht="14"/>
    <row r="942" s="115" customFormat="1" ht="14"/>
    <row r="943" s="115" customFormat="1" ht="14"/>
    <row r="944" s="115" customFormat="1" ht="14"/>
    <row r="945" s="115" customFormat="1" ht="14"/>
    <row r="946" s="115" customFormat="1" ht="14"/>
    <row r="947" s="115" customFormat="1" ht="14"/>
    <row r="948" s="115" customFormat="1" ht="14"/>
    <row r="949" s="115" customFormat="1" ht="14"/>
    <row r="950" s="115" customFormat="1" ht="14"/>
    <row r="951" s="115" customFormat="1" ht="14"/>
    <row r="952" s="115" customFormat="1" ht="14"/>
    <row r="953" s="115" customFormat="1" ht="14"/>
    <row r="954" s="115" customFormat="1" ht="14"/>
    <row r="955" s="115" customFormat="1" ht="14"/>
    <row r="956" s="115" customFormat="1" ht="14"/>
    <row r="957" s="115" customFormat="1" ht="14"/>
    <row r="958" s="115" customFormat="1" ht="14"/>
    <row r="959" s="115" customFormat="1" ht="14"/>
    <row r="960" s="115" customFormat="1" ht="14"/>
    <row r="961" s="115" customFormat="1" ht="14"/>
    <row r="962" s="115" customFormat="1" ht="14"/>
    <row r="963" s="115" customFormat="1" ht="14"/>
    <row r="964" s="115" customFormat="1" ht="14"/>
    <row r="965" s="115" customFormat="1" ht="14"/>
    <row r="966" s="115" customFormat="1" ht="14"/>
    <row r="967" s="115" customFormat="1" ht="14"/>
    <row r="968" s="115" customFormat="1" ht="14"/>
    <row r="969" s="115" customFormat="1" ht="14"/>
    <row r="970" s="115" customFormat="1" ht="14"/>
    <row r="971" s="115" customFormat="1" ht="14"/>
    <row r="972" s="115" customFormat="1" ht="14"/>
    <row r="973" s="115" customFormat="1" ht="14"/>
    <row r="974" s="115" customFormat="1" ht="14"/>
    <row r="975" s="115" customFormat="1" ht="14"/>
    <row r="976" s="115" customFormat="1" ht="14"/>
    <row r="977" s="115" customFormat="1" ht="14"/>
    <row r="978" s="115" customFormat="1" ht="14"/>
    <row r="979" s="115" customFormat="1" ht="14"/>
    <row r="980" s="115" customFormat="1" ht="14"/>
    <row r="981" s="115" customFormat="1" ht="14"/>
    <row r="982" s="115" customFormat="1" ht="14"/>
    <row r="983" s="115" customFormat="1" ht="14"/>
    <row r="984" s="115" customFormat="1" ht="14"/>
    <row r="985" s="115" customFormat="1" ht="14"/>
    <row r="986" s="115" customFormat="1" ht="14"/>
    <row r="987" s="115" customFormat="1" ht="14"/>
    <row r="988" s="115" customFormat="1" ht="14"/>
    <row r="989" s="115" customFormat="1" ht="14"/>
    <row r="990" s="115" customFormat="1" ht="14"/>
    <row r="991" s="115" customFormat="1" ht="14"/>
    <row r="992" s="115" customFormat="1" ht="14"/>
    <row r="993" s="115" customFormat="1" ht="14"/>
    <row r="994" s="115" customFormat="1" ht="14"/>
    <row r="995" s="115" customFormat="1" ht="14"/>
    <row r="996" s="115" customFormat="1" ht="14"/>
    <row r="997" s="115" customFormat="1" ht="14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72D74-3AB0-4199-B2C8-B445A75BD62D}">
  <sheetPr>
    <tabColor rgb="FFC00000"/>
  </sheetPr>
  <dimension ref="A1:AI997"/>
  <sheetViews>
    <sheetView showGridLines="0" workbookViewId="0">
      <pane xSplit="2" topLeftCell="C1" activePane="topRight" state="frozen"/>
      <selection pane="topRight" activeCell="I25" sqref="I25"/>
    </sheetView>
  </sheetViews>
  <sheetFormatPr baseColWidth="10" defaultColWidth="12.5" defaultRowHeight="15.75" customHeight="1"/>
  <cols>
    <col min="1" max="1" width="28.1640625" style="115" customWidth="1"/>
    <col min="2" max="2" width="11.83203125" style="115" customWidth="1"/>
    <col min="3" max="3" width="19" style="115" customWidth="1"/>
    <col min="4" max="4" width="10.5" style="115" customWidth="1"/>
    <col min="5" max="5" width="8.5" style="115" customWidth="1"/>
    <col min="6" max="6" width="7.5" style="115" customWidth="1"/>
    <col min="7" max="7" width="9.5" style="115" customWidth="1"/>
    <col min="8" max="8" width="9" style="115" customWidth="1"/>
    <col min="9" max="9" width="6.83203125" style="115" customWidth="1"/>
    <col min="10" max="10" width="7.5" style="115" customWidth="1"/>
    <col min="11" max="11" width="7.33203125" style="115" customWidth="1"/>
    <col min="12" max="12" width="7.83203125" style="115" customWidth="1"/>
    <col min="13" max="13" width="7.6640625" style="115" customWidth="1"/>
    <col min="14" max="15" width="7.1640625" style="115" customWidth="1"/>
    <col min="16" max="16" width="7.33203125" style="115" customWidth="1"/>
    <col min="17" max="18" width="6.5" style="115" customWidth="1"/>
    <col min="19" max="19" width="7.33203125" style="115" customWidth="1"/>
    <col min="20" max="20" width="7.5" style="115" customWidth="1"/>
    <col min="21" max="21" width="6.6640625" style="115" customWidth="1"/>
    <col min="22" max="22" width="7.1640625" style="115" customWidth="1"/>
    <col min="23" max="23" width="7.5" style="115" customWidth="1"/>
    <col min="24" max="24" width="9.33203125" style="115" customWidth="1"/>
    <col min="25" max="25" width="9.5" style="115" customWidth="1"/>
    <col min="26" max="26" width="9.33203125" style="115" customWidth="1"/>
    <col min="27" max="27" width="8.6640625" style="115" customWidth="1"/>
    <col min="28" max="28" width="15.33203125" style="115" customWidth="1"/>
    <col min="29" max="29" width="14" style="115" customWidth="1"/>
    <col min="30" max="30" width="7.5" style="115" customWidth="1"/>
    <col min="31" max="31" width="17.6640625" style="115" customWidth="1"/>
    <col min="32" max="35" width="7.5" style="115" customWidth="1"/>
    <col min="36" max="16384" width="12.5" style="115"/>
  </cols>
  <sheetData>
    <row r="1" spans="1:35" ht="15.75" customHeight="1">
      <c r="A1" s="107"/>
      <c r="B1" s="108"/>
      <c r="C1" s="109">
        <v>46023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54" t="s">
        <v>1</v>
      </c>
      <c r="B3" s="254" t="s">
        <v>2</v>
      </c>
      <c r="C3" s="254" t="s">
        <v>3</v>
      </c>
      <c r="D3" s="254" t="s">
        <v>4</v>
      </c>
      <c r="E3" s="259" t="s">
        <v>5</v>
      </c>
      <c r="F3" s="255"/>
      <c r="G3" s="255"/>
      <c r="H3" s="255"/>
      <c r="I3" s="141">
        <f>C1</f>
        <v>46023</v>
      </c>
      <c r="J3" s="141">
        <f t="shared" ref="J3:W3" si="0">I3+1</f>
        <v>46024</v>
      </c>
      <c r="K3" s="141">
        <f t="shared" si="0"/>
        <v>46025</v>
      </c>
      <c r="L3" s="141">
        <f t="shared" si="0"/>
        <v>46026</v>
      </c>
      <c r="M3" s="141">
        <f t="shared" si="0"/>
        <v>46027</v>
      </c>
      <c r="N3" s="141">
        <f t="shared" si="0"/>
        <v>46028</v>
      </c>
      <c r="O3" s="141">
        <f t="shared" si="0"/>
        <v>46029</v>
      </c>
      <c r="P3" s="141">
        <f t="shared" si="0"/>
        <v>46030</v>
      </c>
      <c r="Q3" s="141">
        <f t="shared" si="0"/>
        <v>46031</v>
      </c>
      <c r="R3" s="141">
        <f t="shared" si="0"/>
        <v>46032</v>
      </c>
      <c r="S3" s="141">
        <f t="shared" si="0"/>
        <v>46033</v>
      </c>
      <c r="T3" s="141">
        <f t="shared" si="0"/>
        <v>46034</v>
      </c>
      <c r="U3" s="141">
        <f t="shared" si="0"/>
        <v>46035</v>
      </c>
      <c r="V3" s="141">
        <f t="shared" si="0"/>
        <v>46036</v>
      </c>
      <c r="W3" s="141">
        <f t="shared" si="0"/>
        <v>46037</v>
      </c>
      <c r="X3" s="254" t="s">
        <v>6</v>
      </c>
      <c r="Y3" s="254" t="s">
        <v>7</v>
      </c>
      <c r="Z3" s="209"/>
      <c r="AA3" s="210"/>
      <c r="AB3" s="114"/>
    </row>
    <row r="4" spans="1:35" ht="27" customHeight="1">
      <c r="A4" s="255"/>
      <c r="B4" s="255"/>
      <c r="C4" s="255"/>
      <c r="D4" s="255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Thu</v>
      </c>
      <c r="J4" s="127" t="str">
        <f t="shared" si="1"/>
        <v>Fri</v>
      </c>
      <c r="K4" s="127" t="str">
        <f t="shared" si="1"/>
        <v>Sat</v>
      </c>
      <c r="L4" s="222" t="str">
        <f t="shared" si="1"/>
        <v>Sun</v>
      </c>
      <c r="M4" s="222" t="str">
        <f t="shared" si="1"/>
        <v>Mon</v>
      </c>
      <c r="N4" s="221" t="str">
        <f t="shared" si="1"/>
        <v>Tue</v>
      </c>
      <c r="O4" s="221" t="str">
        <f t="shared" si="1"/>
        <v>Wed</v>
      </c>
      <c r="P4" s="222" t="str">
        <f t="shared" si="1"/>
        <v>Thu</v>
      </c>
      <c r="Q4" s="222" t="str">
        <f t="shared" si="1"/>
        <v>Fri</v>
      </c>
      <c r="R4" s="222" t="str">
        <f t="shared" si="1"/>
        <v>Sat</v>
      </c>
      <c r="S4" s="222" t="str">
        <f t="shared" si="1"/>
        <v>Sun</v>
      </c>
      <c r="T4" s="222" t="str">
        <f t="shared" si="1"/>
        <v>Mon</v>
      </c>
      <c r="U4" s="222" t="str">
        <f t="shared" si="1"/>
        <v>Tue</v>
      </c>
      <c r="V4" s="222" t="str">
        <f t="shared" si="1"/>
        <v>Wed</v>
      </c>
      <c r="W4" s="222" t="str">
        <f t="shared" si="1"/>
        <v>Thu</v>
      </c>
      <c r="X4" s="255"/>
      <c r="Y4" s="255"/>
      <c r="Z4" s="209"/>
      <c r="AA4" s="240" t="s">
        <v>12</v>
      </c>
      <c r="AB4" s="238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>SUM(I5:W5)</f>
        <v>80</v>
      </c>
      <c r="H5" s="135">
        <v>0</v>
      </c>
      <c r="I5" s="235"/>
      <c r="J5" s="183">
        <v>8</v>
      </c>
      <c r="K5" s="200"/>
      <c r="L5" s="200"/>
      <c r="M5" s="183">
        <v>8</v>
      </c>
      <c r="N5" s="183">
        <v>8</v>
      </c>
      <c r="O5" s="183">
        <v>8</v>
      </c>
      <c r="P5" s="183">
        <v>8</v>
      </c>
      <c r="Q5" s="183">
        <v>8</v>
      </c>
      <c r="R5" s="200"/>
      <c r="S5" s="200"/>
      <c r="T5" s="183">
        <v>8</v>
      </c>
      <c r="U5" s="183">
        <v>8</v>
      </c>
      <c r="V5" s="183">
        <v>8</v>
      </c>
      <c r="W5" s="183">
        <v>8</v>
      </c>
      <c r="X5" s="134">
        <f>Y5-COUNTA(I5:W5)</f>
        <v>0</v>
      </c>
      <c r="Y5" s="136">
        <v>10</v>
      </c>
      <c r="Z5" s="209"/>
      <c r="AA5" s="239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80</v>
      </c>
      <c r="G6" s="134">
        <f t="shared" ref="G6:G10" si="5">SUM(I6:W6)</f>
        <v>80</v>
      </c>
      <c r="H6" s="135">
        <v>0</v>
      </c>
      <c r="I6" s="235"/>
      <c r="J6" s="183">
        <v>8</v>
      </c>
      <c r="K6" s="200"/>
      <c r="L6" s="200"/>
      <c r="M6" s="183">
        <v>8</v>
      </c>
      <c r="N6" s="183">
        <v>8</v>
      </c>
      <c r="O6" s="183">
        <v>8</v>
      </c>
      <c r="P6" s="183">
        <v>8</v>
      </c>
      <c r="Q6" s="183">
        <v>8</v>
      </c>
      <c r="R6" s="200"/>
      <c r="S6" s="200"/>
      <c r="T6" s="183">
        <v>8</v>
      </c>
      <c r="U6" s="183">
        <v>8</v>
      </c>
      <c r="V6" s="183">
        <v>8</v>
      </c>
      <c r="W6" s="183">
        <v>8</v>
      </c>
      <c r="X6" s="134">
        <f t="shared" ref="X6:X14" si="6">Y6-COUNTA(I6:W6)</f>
        <v>0</v>
      </c>
      <c r="Y6" s="136">
        <v>10</v>
      </c>
      <c r="Z6" s="209"/>
      <c r="AA6" s="237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235"/>
      <c r="J7" s="183">
        <v>8</v>
      </c>
      <c r="K7" s="200"/>
      <c r="L7" s="200"/>
      <c r="M7" s="183">
        <v>8</v>
      </c>
      <c r="N7" s="183">
        <v>8</v>
      </c>
      <c r="O7" s="183">
        <v>8</v>
      </c>
      <c r="P7" s="183">
        <v>8</v>
      </c>
      <c r="Q7" s="183">
        <v>8</v>
      </c>
      <c r="R7" s="200"/>
      <c r="S7" s="200"/>
      <c r="T7" s="183">
        <v>8</v>
      </c>
      <c r="U7" s="183">
        <v>8</v>
      </c>
      <c r="V7" s="183">
        <v>8</v>
      </c>
      <c r="W7" s="236"/>
      <c r="X7" s="134">
        <f t="shared" si="6"/>
        <v>1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235"/>
      <c r="J8" s="183">
        <v>8</v>
      </c>
      <c r="K8" s="200"/>
      <c r="L8" s="200"/>
      <c r="M8" s="183">
        <v>8</v>
      </c>
      <c r="N8" s="183">
        <v>8</v>
      </c>
      <c r="O8" s="183">
        <v>8</v>
      </c>
      <c r="P8" s="183">
        <v>8</v>
      </c>
      <c r="Q8" s="183">
        <v>8</v>
      </c>
      <c r="R8" s="200"/>
      <c r="S8" s="200"/>
      <c r="T8" s="183">
        <v>8</v>
      </c>
      <c r="U8" s="183">
        <v>8</v>
      </c>
      <c r="V8" s="183">
        <v>8</v>
      </c>
      <c r="W8" s="183">
        <v>8</v>
      </c>
      <c r="X8" s="134">
        <f t="shared" si="6"/>
        <v>0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72</v>
      </c>
      <c r="G9" s="134">
        <f t="shared" si="5"/>
        <v>72</v>
      </c>
      <c r="H9" s="135">
        <v>0</v>
      </c>
      <c r="I9" s="235"/>
      <c r="J9" s="183">
        <v>8</v>
      </c>
      <c r="K9" s="200"/>
      <c r="L9" s="200"/>
      <c r="M9" s="183">
        <v>8</v>
      </c>
      <c r="N9" s="183">
        <v>8</v>
      </c>
      <c r="O9" s="183">
        <v>8</v>
      </c>
      <c r="P9" s="183">
        <v>8</v>
      </c>
      <c r="Q9" s="183">
        <v>8</v>
      </c>
      <c r="R9" s="200"/>
      <c r="S9" s="200"/>
      <c r="T9" s="183">
        <v>8</v>
      </c>
      <c r="U9" s="183">
        <v>8</v>
      </c>
      <c r="V9" s="183">
        <v>8</v>
      </c>
      <c r="W9" s="236"/>
      <c r="X9" s="134">
        <f t="shared" si="6"/>
        <v>1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72</v>
      </c>
      <c r="G10" s="134">
        <f t="shared" si="5"/>
        <v>72</v>
      </c>
      <c r="H10" s="135">
        <v>0</v>
      </c>
      <c r="I10" s="235"/>
      <c r="J10" s="183">
        <v>8</v>
      </c>
      <c r="K10" s="200"/>
      <c r="L10" s="200"/>
      <c r="M10" s="183">
        <v>8</v>
      </c>
      <c r="N10" s="183">
        <v>8</v>
      </c>
      <c r="O10" s="183">
        <v>8</v>
      </c>
      <c r="P10" s="183">
        <v>8</v>
      </c>
      <c r="Q10" s="183">
        <v>8</v>
      </c>
      <c r="R10" s="200"/>
      <c r="S10" s="200"/>
      <c r="T10" s="183">
        <v>8</v>
      </c>
      <c r="U10" s="183">
        <v>8</v>
      </c>
      <c r="V10" s="236"/>
      <c r="W10" s="183">
        <v>8</v>
      </c>
      <c r="X10" s="134">
        <f t="shared" si="6"/>
        <v>1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456</v>
      </c>
      <c r="G15" s="224">
        <f t="shared" si="8"/>
        <v>456</v>
      </c>
      <c r="H15" s="224">
        <f t="shared" si="8"/>
        <v>0</v>
      </c>
      <c r="I15" s="224">
        <f t="shared" si="8"/>
        <v>0</v>
      </c>
      <c r="J15" s="224">
        <f t="shared" si="8"/>
        <v>48</v>
      </c>
      <c r="K15" s="224">
        <f t="shared" si="8"/>
        <v>0</v>
      </c>
      <c r="L15" s="224">
        <f t="shared" si="8"/>
        <v>0</v>
      </c>
      <c r="M15" s="224">
        <f t="shared" si="8"/>
        <v>48</v>
      </c>
      <c r="N15" s="224">
        <f t="shared" si="8"/>
        <v>48</v>
      </c>
      <c r="O15" s="224">
        <f t="shared" si="8"/>
        <v>48</v>
      </c>
      <c r="P15" s="224">
        <f t="shared" si="8"/>
        <v>48</v>
      </c>
      <c r="Q15" s="224">
        <f t="shared" si="8"/>
        <v>48</v>
      </c>
      <c r="R15" s="224">
        <f t="shared" si="8"/>
        <v>0</v>
      </c>
      <c r="S15" s="224">
        <f t="shared" si="8"/>
        <v>0</v>
      </c>
      <c r="T15" s="224">
        <f t="shared" si="8"/>
        <v>48</v>
      </c>
      <c r="U15" s="224">
        <f t="shared" si="8"/>
        <v>48</v>
      </c>
      <c r="V15" s="224">
        <f t="shared" si="8"/>
        <v>40</v>
      </c>
      <c r="W15" s="224">
        <f t="shared" si="8"/>
        <v>32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54" t="s">
        <v>1</v>
      </c>
      <c r="B18" s="254" t="s">
        <v>2</v>
      </c>
      <c r="C18" s="254" t="s">
        <v>3</v>
      </c>
      <c r="D18" s="254" t="s">
        <v>4</v>
      </c>
      <c r="E18" s="259" t="s">
        <v>5</v>
      </c>
      <c r="F18" s="255"/>
      <c r="G18" s="255"/>
      <c r="H18" s="255"/>
      <c r="I18" s="141">
        <f>W3+1</f>
        <v>46038</v>
      </c>
      <c r="J18" s="141">
        <f t="shared" ref="J18:X18" si="9">I18+1</f>
        <v>46039</v>
      </c>
      <c r="K18" s="141">
        <f t="shared" si="9"/>
        <v>46040</v>
      </c>
      <c r="L18" s="141">
        <f t="shared" si="9"/>
        <v>46041</v>
      </c>
      <c r="M18" s="141">
        <f t="shared" si="9"/>
        <v>46042</v>
      </c>
      <c r="N18" s="141">
        <f t="shared" si="9"/>
        <v>46043</v>
      </c>
      <c r="O18" s="141">
        <f t="shared" si="9"/>
        <v>46044</v>
      </c>
      <c r="P18" s="141">
        <f t="shared" si="9"/>
        <v>46045</v>
      </c>
      <c r="Q18" s="141">
        <f t="shared" si="9"/>
        <v>46046</v>
      </c>
      <c r="R18" s="141">
        <f t="shared" si="9"/>
        <v>46047</v>
      </c>
      <c r="S18" s="141">
        <f t="shared" si="9"/>
        <v>46048</v>
      </c>
      <c r="T18" s="141">
        <f t="shared" si="9"/>
        <v>46049</v>
      </c>
      <c r="U18" s="141">
        <f t="shared" si="9"/>
        <v>46050</v>
      </c>
      <c r="V18" s="141">
        <f t="shared" si="9"/>
        <v>46051</v>
      </c>
      <c r="W18" s="141">
        <f t="shared" si="9"/>
        <v>46052</v>
      </c>
      <c r="X18" s="141">
        <f t="shared" si="9"/>
        <v>46053</v>
      </c>
      <c r="Y18" s="254" t="s">
        <v>6</v>
      </c>
      <c r="Z18" s="254" t="s">
        <v>7</v>
      </c>
      <c r="AA18" s="209"/>
      <c r="AB18" s="114"/>
    </row>
    <row r="19" spans="1:29" ht="26.25" customHeight="1">
      <c r="A19" s="255"/>
      <c r="B19" s="255"/>
      <c r="C19" s="255"/>
      <c r="D19" s="255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W19" si="10">IF(I18="","",TEXT(WEEKDAY(I18), "ddd"))</f>
        <v>Fri</v>
      </c>
      <c r="J19" s="222" t="str">
        <f t="shared" si="10"/>
        <v>Sat</v>
      </c>
      <c r="K19" s="222" t="str">
        <f t="shared" si="10"/>
        <v>Sun</v>
      </c>
      <c r="L19" s="222" t="str">
        <f t="shared" si="10"/>
        <v>Mon</v>
      </c>
      <c r="M19" s="222" t="str">
        <f t="shared" si="10"/>
        <v>Tue</v>
      </c>
      <c r="N19" s="222" t="str">
        <f t="shared" si="10"/>
        <v>Wed</v>
      </c>
      <c r="O19" s="222" t="str">
        <f t="shared" si="10"/>
        <v>Thu</v>
      </c>
      <c r="P19" s="127" t="str">
        <f t="shared" si="10"/>
        <v>Fri</v>
      </c>
      <c r="Q19" s="127" t="str">
        <f t="shared" si="10"/>
        <v>Sat</v>
      </c>
      <c r="R19" s="222" t="str">
        <f t="shared" si="10"/>
        <v>Sun</v>
      </c>
      <c r="S19" s="222" t="str">
        <f t="shared" si="10"/>
        <v>Mon</v>
      </c>
      <c r="T19" s="222" t="str">
        <f t="shared" si="10"/>
        <v>Tue</v>
      </c>
      <c r="U19" s="222" t="str">
        <f t="shared" si="10"/>
        <v>Wed</v>
      </c>
      <c r="V19" s="222" t="str">
        <f t="shared" si="10"/>
        <v>Thu</v>
      </c>
      <c r="W19" s="127" t="str">
        <f t="shared" si="10"/>
        <v>Fri</v>
      </c>
      <c r="X19" s="127" t="str">
        <f t="shared" ref="X19" si="11">IF(X18="","",TEXT(WEEKDAY(X18), "ddd"))</f>
        <v>Sat</v>
      </c>
      <c r="Y19" s="255"/>
      <c r="Z19" s="255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2">E20</f>
        <v>80</v>
      </c>
      <c r="E20" s="134">
        <f t="shared" ref="E20:E25" si="13">Z20*8</f>
        <v>80</v>
      </c>
      <c r="F20" s="134">
        <f t="shared" ref="F20:F25" si="14">G20+H20</f>
        <v>80</v>
      </c>
      <c r="G20" s="134">
        <f t="shared" ref="G20:G25" si="15">SUM(I20:X20)</f>
        <v>80</v>
      </c>
      <c r="H20" s="135">
        <v>0</v>
      </c>
      <c r="I20" s="180">
        <v>8</v>
      </c>
      <c r="J20" s="200"/>
      <c r="K20" s="199"/>
      <c r="L20" s="180">
        <v>8</v>
      </c>
      <c r="M20" s="180">
        <v>8</v>
      </c>
      <c r="N20" s="180">
        <v>8</v>
      </c>
      <c r="O20" s="180">
        <v>8</v>
      </c>
      <c r="P20" s="180">
        <v>8</v>
      </c>
      <c r="Q20" s="200"/>
      <c r="R20" s="199"/>
      <c r="S20" s="235"/>
      <c r="T20" s="180">
        <v>8</v>
      </c>
      <c r="U20" s="180">
        <v>8</v>
      </c>
      <c r="V20" s="183">
        <v>8</v>
      </c>
      <c r="W20" s="183">
        <v>8</v>
      </c>
      <c r="X20" s="199"/>
      <c r="Y20" s="134">
        <f t="shared" ref="Y20:Y25" si="16">Z20-COUNTA(I20:X20)</f>
        <v>0</v>
      </c>
      <c r="Z20" s="136">
        <v>10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2"/>
        <v>80</v>
      </c>
      <c r="E21" s="134">
        <f t="shared" si="13"/>
        <v>80</v>
      </c>
      <c r="F21" s="134">
        <f t="shared" si="14"/>
        <v>80</v>
      </c>
      <c r="G21" s="134">
        <f t="shared" si="15"/>
        <v>80</v>
      </c>
      <c r="H21" s="135">
        <v>0</v>
      </c>
      <c r="I21" s="180">
        <v>8</v>
      </c>
      <c r="J21" s="199"/>
      <c r="K21" s="199"/>
      <c r="L21" s="180">
        <v>8</v>
      </c>
      <c r="M21" s="180">
        <v>8</v>
      </c>
      <c r="N21" s="180">
        <v>8</v>
      </c>
      <c r="O21" s="183">
        <v>8</v>
      </c>
      <c r="P21" s="180">
        <v>8</v>
      </c>
      <c r="Q21" s="199"/>
      <c r="R21" s="200"/>
      <c r="S21" s="185"/>
      <c r="T21" s="180">
        <v>8</v>
      </c>
      <c r="U21" s="180">
        <v>8</v>
      </c>
      <c r="V21" s="183">
        <v>8</v>
      </c>
      <c r="W21" s="180">
        <v>8</v>
      </c>
      <c r="X21" s="199"/>
      <c r="Y21" s="134">
        <f t="shared" si="16"/>
        <v>0</v>
      </c>
      <c r="Z21" s="136">
        <v>10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2"/>
        <v>80</v>
      </c>
      <c r="E22" s="134">
        <f t="shared" si="13"/>
        <v>80</v>
      </c>
      <c r="F22" s="134">
        <f t="shared" si="14"/>
        <v>72</v>
      </c>
      <c r="G22" s="134">
        <f t="shared" si="15"/>
        <v>72</v>
      </c>
      <c r="H22" s="135">
        <v>0</v>
      </c>
      <c r="I22" s="180">
        <v>8</v>
      </c>
      <c r="J22" s="199"/>
      <c r="K22" s="199"/>
      <c r="L22" s="180">
        <v>8</v>
      </c>
      <c r="M22" s="180">
        <v>8</v>
      </c>
      <c r="N22" s="186"/>
      <c r="O22" s="180">
        <v>8</v>
      </c>
      <c r="P22" s="180">
        <v>8</v>
      </c>
      <c r="Q22" s="199"/>
      <c r="R22" s="199"/>
      <c r="S22" s="185"/>
      <c r="T22" s="180">
        <v>8</v>
      </c>
      <c r="U22" s="180">
        <v>8</v>
      </c>
      <c r="V22" s="180">
        <v>8</v>
      </c>
      <c r="W22" s="180">
        <v>8</v>
      </c>
      <c r="X22" s="199"/>
      <c r="Y22" s="134">
        <f t="shared" si="16"/>
        <v>1</v>
      </c>
      <c r="Z22" s="136">
        <v>10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2"/>
        <v>80</v>
      </c>
      <c r="E23" s="134">
        <f t="shared" si="13"/>
        <v>80</v>
      </c>
      <c r="F23" s="134">
        <f t="shared" si="14"/>
        <v>80</v>
      </c>
      <c r="G23" s="134">
        <f t="shared" si="15"/>
        <v>80</v>
      </c>
      <c r="H23" s="135">
        <v>0</v>
      </c>
      <c r="I23" s="180">
        <v>8</v>
      </c>
      <c r="J23" s="199"/>
      <c r="K23" s="199"/>
      <c r="L23" s="180">
        <v>8</v>
      </c>
      <c r="M23" s="180">
        <v>8</v>
      </c>
      <c r="N23" s="180">
        <v>8</v>
      </c>
      <c r="O23" s="183">
        <v>8</v>
      </c>
      <c r="P23" s="183">
        <v>8</v>
      </c>
      <c r="Q23" s="199"/>
      <c r="R23" s="200"/>
      <c r="S23" s="185"/>
      <c r="T23" s="180">
        <v>8</v>
      </c>
      <c r="U23" s="180">
        <v>8</v>
      </c>
      <c r="V23" s="183">
        <v>8</v>
      </c>
      <c r="W23" s="183">
        <v>8</v>
      </c>
      <c r="X23" s="199"/>
      <c r="Y23" s="134">
        <f t="shared" si="16"/>
        <v>0</v>
      </c>
      <c r="Z23" s="136">
        <v>10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2"/>
        <v>80</v>
      </c>
      <c r="E24" s="134">
        <f t="shared" si="13"/>
        <v>80</v>
      </c>
      <c r="F24" s="134">
        <f t="shared" si="14"/>
        <v>80</v>
      </c>
      <c r="G24" s="134">
        <f t="shared" si="15"/>
        <v>80</v>
      </c>
      <c r="H24" s="135">
        <v>0</v>
      </c>
      <c r="I24" s="180">
        <v>8</v>
      </c>
      <c r="J24" s="199"/>
      <c r="K24" s="199"/>
      <c r="L24" s="180">
        <v>8</v>
      </c>
      <c r="M24" s="180">
        <v>8</v>
      </c>
      <c r="N24" s="180">
        <v>8</v>
      </c>
      <c r="O24" s="180">
        <v>8</v>
      </c>
      <c r="P24" s="183">
        <v>8</v>
      </c>
      <c r="Q24" s="199"/>
      <c r="R24" s="199"/>
      <c r="S24" s="185"/>
      <c r="T24" s="180">
        <v>8</v>
      </c>
      <c r="U24" s="180">
        <v>8</v>
      </c>
      <c r="V24" s="180">
        <v>8</v>
      </c>
      <c r="W24" s="180">
        <v>8</v>
      </c>
      <c r="X24" s="199"/>
      <c r="Y24" s="134">
        <f t="shared" si="16"/>
        <v>0</v>
      </c>
      <c r="Z24" s="136">
        <v>10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2"/>
        <v>80</v>
      </c>
      <c r="E25" s="134">
        <f t="shared" si="13"/>
        <v>80</v>
      </c>
      <c r="F25" s="134">
        <f t="shared" si="14"/>
        <v>80</v>
      </c>
      <c r="G25" s="134">
        <f t="shared" si="15"/>
        <v>80</v>
      </c>
      <c r="H25" s="135">
        <v>0</v>
      </c>
      <c r="I25" s="183">
        <v>8</v>
      </c>
      <c r="J25" s="200"/>
      <c r="K25" s="200"/>
      <c r="L25" s="183">
        <v>8</v>
      </c>
      <c r="M25" s="183">
        <v>8</v>
      </c>
      <c r="N25" s="183">
        <v>8</v>
      </c>
      <c r="O25" s="183">
        <v>8</v>
      </c>
      <c r="P25" s="183">
        <v>8</v>
      </c>
      <c r="Q25" s="200"/>
      <c r="R25" s="200"/>
      <c r="S25" s="235"/>
      <c r="T25" s="183">
        <v>8</v>
      </c>
      <c r="U25" s="183">
        <v>8</v>
      </c>
      <c r="V25" s="183">
        <v>8</v>
      </c>
      <c r="W25" s="183">
        <v>8</v>
      </c>
      <c r="X25" s="199"/>
      <c r="Y25" s="134">
        <f t="shared" si="16"/>
        <v>0</v>
      </c>
      <c r="Z25" s="136">
        <v>10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7">SUM(D20:D29)</f>
        <v>480</v>
      </c>
      <c r="E30" s="224">
        <f t="shared" si="17"/>
        <v>480</v>
      </c>
      <c r="F30" s="224">
        <f t="shared" si="17"/>
        <v>472</v>
      </c>
      <c r="G30" s="224">
        <f t="shared" si="17"/>
        <v>472</v>
      </c>
      <c r="H30" s="224">
        <f t="shared" si="17"/>
        <v>0</v>
      </c>
      <c r="I30" s="224">
        <f t="shared" si="17"/>
        <v>48</v>
      </c>
      <c r="J30" s="224">
        <f t="shared" si="17"/>
        <v>0</v>
      </c>
      <c r="K30" s="224">
        <f t="shared" si="17"/>
        <v>0</v>
      </c>
      <c r="L30" s="224">
        <f t="shared" si="17"/>
        <v>48</v>
      </c>
      <c r="M30" s="224">
        <f t="shared" si="17"/>
        <v>48</v>
      </c>
      <c r="N30" s="224">
        <f t="shared" si="17"/>
        <v>40</v>
      </c>
      <c r="O30" s="224">
        <f t="shared" si="17"/>
        <v>48</v>
      </c>
      <c r="P30" s="224">
        <f t="shared" si="17"/>
        <v>48</v>
      </c>
      <c r="Q30" s="224">
        <f t="shared" si="17"/>
        <v>0</v>
      </c>
      <c r="R30" s="224">
        <f t="shared" si="17"/>
        <v>0</v>
      </c>
      <c r="S30" s="224">
        <f t="shared" si="17"/>
        <v>0</v>
      </c>
      <c r="T30" s="224">
        <f t="shared" si="17"/>
        <v>48</v>
      </c>
      <c r="U30" s="224">
        <f t="shared" si="17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8">E5+E20</f>
        <v>160</v>
      </c>
      <c r="D34" s="155">
        <f t="shared" ref="D34:D39" si="19">B34</f>
        <v>160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160</v>
      </c>
      <c r="C35" s="154">
        <f t="shared" si="18"/>
        <v>160</v>
      </c>
      <c r="D35" s="155">
        <f t="shared" si="19"/>
        <v>160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144</v>
      </c>
      <c r="C36" s="154">
        <f t="shared" si="18"/>
        <v>160</v>
      </c>
      <c r="D36" s="155">
        <f t="shared" si="19"/>
        <v>144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8"/>
        <v>160</v>
      </c>
      <c r="D37" s="155">
        <f t="shared" si="19"/>
        <v>160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152</v>
      </c>
      <c r="C38" s="217">
        <f t="shared" si="18"/>
        <v>160</v>
      </c>
      <c r="D38" s="218">
        <f t="shared" si="19"/>
        <v>152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152</v>
      </c>
      <c r="C39" s="159">
        <f t="shared" si="18"/>
        <v>160</v>
      </c>
      <c r="D39" s="160">
        <f t="shared" si="19"/>
        <v>152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20">B40</f>
        <v>0</v>
      </c>
      <c r="D40" s="214">
        <f t="shared" si="20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20"/>
        <v>0</v>
      </c>
      <c r="D41" s="155">
        <f t="shared" si="20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20"/>
        <v>0</v>
      </c>
      <c r="D42" s="155">
        <f t="shared" si="20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20"/>
        <v>0</v>
      </c>
      <c r="D43" s="160">
        <f t="shared" si="20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6" t="s">
        <v>0</v>
      </c>
      <c r="B46" s="257"/>
      <c r="C46" s="258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1</v>
      </c>
      <c r="C49" s="171">
        <f>B49*8</f>
        <v>8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1">B48-B49</f>
        <v>10</v>
      </c>
      <c r="C50" s="173">
        <f t="shared" si="21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6" t="s">
        <v>22</v>
      </c>
      <c r="B53" s="257"/>
      <c r="C53" s="258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2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1</v>
      </c>
      <c r="C56" s="171">
        <f t="shared" si="22"/>
        <v>8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3">B55-B56</f>
        <v>10</v>
      </c>
      <c r="C57" s="173">
        <f t="shared" si="23"/>
        <v>80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160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4"/>
    <row r="261" s="115" customFormat="1" ht="14"/>
    <row r="262" s="115" customFormat="1" ht="14"/>
    <row r="263" s="115" customFormat="1" ht="14"/>
    <row r="264" s="115" customFormat="1" ht="14"/>
    <row r="265" s="115" customFormat="1" ht="14"/>
    <row r="266" s="115" customFormat="1" ht="14"/>
    <row r="267" s="115" customFormat="1" ht="14"/>
    <row r="268" s="115" customFormat="1" ht="14"/>
    <row r="269" s="115" customFormat="1" ht="14"/>
    <row r="270" s="115" customFormat="1" ht="14"/>
    <row r="271" s="115" customFormat="1" ht="14"/>
    <row r="272" s="115" customFormat="1" ht="14"/>
    <row r="273" s="115" customFormat="1" ht="14"/>
    <row r="274" s="115" customFormat="1" ht="14"/>
    <row r="275" s="115" customFormat="1" ht="14"/>
    <row r="276" s="115" customFormat="1" ht="14"/>
    <row r="277" s="115" customFormat="1" ht="14"/>
    <row r="278" s="115" customFormat="1" ht="14"/>
    <row r="279" s="115" customFormat="1" ht="14"/>
    <row r="280" s="115" customFormat="1" ht="14"/>
    <row r="281" s="115" customFormat="1" ht="14"/>
    <row r="282" s="115" customFormat="1" ht="14"/>
    <row r="283" s="115" customFormat="1" ht="14"/>
    <row r="284" s="115" customFormat="1" ht="14"/>
    <row r="285" s="115" customFormat="1" ht="14"/>
    <row r="286" s="115" customFormat="1" ht="14"/>
    <row r="287" s="115" customFormat="1" ht="14"/>
    <row r="288" s="115" customFormat="1" ht="14"/>
    <row r="289" s="115" customFormat="1" ht="14"/>
    <row r="290" s="115" customFormat="1" ht="14"/>
    <row r="291" s="115" customFormat="1" ht="14"/>
    <row r="292" s="115" customFormat="1" ht="14"/>
    <row r="293" s="115" customFormat="1" ht="14"/>
    <row r="294" s="115" customFormat="1" ht="14"/>
    <row r="295" s="115" customFormat="1" ht="14"/>
    <row r="296" s="115" customFormat="1" ht="14"/>
    <row r="297" s="115" customFormat="1" ht="14"/>
    <row r="298" s="115" customFormat="1" ht="14"/>
    <row r="299" s="115" customFormat="1" ht="14"/>
    <row r="300" s="115" customFormat="1" ht="14"/>
    <row r="301" s="115" customFormat="1" ht="14"/>
    <row r="302" s="115" customFormat="1" ht="14"/>
    <row r="303" s="115" customFormat="1" ht="14"/>
    <row r="304" s="115" customFormat="1" ht="14"/>
    <row r="305" s="115" customFormat="1" ht="14"/>
    <row r="306" s="115" customFormat="1" ht="14"/>
    <row r="307" s="115" customFormat="1" ht="14"/>
    <row r="308" s="115" customFormat="1" ht="14"/>
    <row r="309" s="115" customFormat="1" ht="14"/>
    <row r="310" s="115" customFormat="1" ht="14"/>
    <row r="311" s="115" customFormat="1" ht="14"/>
    <row r="312" s="115" customFormat="1" ht="14"/>
    <row r="313" s="115" customFormat="1" ht="14"/>
    <row r="314" s="115" customFormat="1" ht="14"/>
    <row r="315" s="115" customFormat="1" ht="14"/>
    <row r="316" s="115" customFormat="1" ht="14"/>
    <row r="317" s="115" customFormat="1" ht="14"/>
    <row r="318" s="115" customFormat="1" ht="14"/>
    <row r="319" s="115" customFormat="1" ht="14"/>
    <row r="320" s="115" customFormat="1" ht="14"/>
    <row r="321" s="115" customFormat="1" ht="14"/>
    <row r="322" s="115" customFormat="1" ht="14"/>
    <row r="323" s="115" customFormat="1" ht="14"/>
    <row r="324" s="115" customFormat="1" ht="14"/>
    <row r="325" s="115" customFormat="1" ht="14"/>
    <row r="326" s="115" customFormat="1" ht="14"/>
    <row r="327" s="115" customFormat="1" ht="14"/>
    <row r="328" s="115" customFormat="1" ht="14"/>
    <row r="329" s="115" customFormat="1" ht="14"/>
    <row r="330" s="115" customFormat="1" ht="14"/>
    <row r="331" s="115" customFormat="1" ht="14"/>
    <row r="332" s="115" customFormat="1" ht="14"/>
    <row r="333" s="115" customFormat="1" ht="14"/>
    <row r="334" s="115" customFormat="1" ht="14"/>
    <row r="335" s="115" customFormat="1" ht="14"/>
    <row r="336" s="115" customFormat="1" ht="14"/>
    <row r="337" s="115" customFormat="1" ht="14"/>
    <row r="338" s="115" customFormat="1" ht="14"/>
    <row r="339" s="115" customFormat="1" ht="14"/>
    <row r="340" s="115" customFormat="1" ht="14"/>
    <row r="341" s="115" customFormat="1" ht="14"/>
    <row r="342" s="115" customFormat="1" ht="14"/>
    <row r="343" s="115" customFormat="1" ht="14"/>
    <row r="344" s="115" customFormat="1" ht="14"/>
    <row r="345" s="115" customFormat="1" ht="14"/>
    <row r="346" s="115" customFormat="1" ht="14"/>
    <row r="347" s="115" customFormat="1" ht="14"/>
    <row r="348" s="115" customFormat="1" ht="14"/>
    <row r="349" s="115" customFormat="1" ht="14"/>
    <row r="350" s="115" customFormat="1" ht="14"/>
    <row r="351" s="115" customFormat="1" ht="14"/>
    <row r="352" s="115" customFormat="1" ht="14"/>
    <row r="353" s="115" customFormat="1" ht="14"/>
    <row r="354" s="115" customFormat="1" ht="14"/>
    <row r="355" s="115" customFormat="1" ht="14"/>
    <row r="356" s="115" customFormat="1" ht="14"/>
    <row r="357" s="115" customFormat="1" ht="14"/>
    <row r="358" s="115" customFormat="1" ht="14"/>
    <row r="359" s="115" customFormat="1" ht="14"/>
    <row r="360" s="115" customFormat="1" ht="14"/>
    <row r="361" s="115" customFormat="1" ht="14"/>
    <row r="362" s="115" customFormat="1" ht="14"/>
    <row r="363" s="115" customFormat="1" ht="14"/>
    <row r="364" s="115" customFormat="1" ht="14"/>
    <row r="365" s="115" customFormat="1" ht="14"/>
    <row r="366" s="115" customFormat="1" ht="14"/>
    <row r="367" s="115" customFormat="1" ht="14"/>
    <row r="368" s="115" customFormat="1" ht="14"/>
    <row r="369" s="115" customFormat="1" ht="14"/>
    <row r="370" s="115" customFormat="1" ht="14"/>
    <row r="371" s="115" customFormat="1" ht="14"/>
    <row r="372" s="115" customFormat="1" ht="14"/>
    <row r="373" s="115" customFormat="1" ht="14"/>
    <row r="374" s="115" customFormat="1" ht="14"/>
    <row r="375" s="115" customFormat="1" ht="14"/>
    <row r="376" s="115" customFormat="1" ht="14"/>
    <row r="377" s="115" customFormat="1" ht="14"/>
    <row r="378" s="115" customFormat="1" ht="14"/>
    <row r="379" s="115" customFormat="1" ht="14"/>
    <row r="380" s="115" customFormat="1" ht="14"/>
    <row r="381" s="115" customFormat="1" ht="14"/>
    <row r="382" s="115" customFormat="1" ht="14"/>
    <row r="383" s="115" customFormat="1" ht="14"/>
    <row r="384" s="115" customFormat="1" ht="14"/>
    <row r="385" s="115" customFormat="1" ht="14"/>
    <row r="386" s="115" customFormat="1" ht="14"/>
    <row r="387" s="115" customFormat="1" ht="14"/>
    <row r="388" s="115" customFormat="1" ht="14"/>
    <row r="389" s="115" customFormat="1" ht="14"/>
    <row r="390" s="115" customFormat="1" ht="14"/>
    <row r="391" s="115" customFormat="1" ht="14"/>
    <row r="392" s="115" customFormat="1" ht="14"/>
    <row r="393" s="115" customFormat="1" ht="14"/>
    <row r="394" s="115" customFormat="1" ht="14"/>
    <row r="395" s="115" customFormat="1" ht="14"/>
    <row r="396" s="115" customFormat="1" ht="14"/>
    <row r="397" s="115" customFormat="1" ht="14"/>
    <row r="398" s="115" customFormat="1" ht="14"/>
    <row r="399" s="115" customFormat="1" ht="14"/>
    <row r="400" s="115" customFormat="1" ht="14"/>
    <row r="401" s="115" customFormat="1" ht="14"/>
    <row r="402" s="115" customFormat="1" ht="14"/>
    <row r="403" s="115" customFormat="1" ht="14"/>
    <row r="404" s="115" customFormat="1" ht="14"/>
    <row r="405" s="115" customFormat="1" ht="14"/>
    <row r="406" s="115" customFormat="1" ht="14"/>
    <row r="407" s="115" customFormat="1" ht="14"/>
    <row r="408" s="115" customFormat="1" ht="14"/>
    <row r="409" s="115" customFormat="1" ht="14"/>
    <row r="410" s="115" customFormat="1" ht="14"/>
    <row r="411" s="115" customFormat="1" ht="14"/>
    <row r="412" s="115" customFormat="1" ht="14"/>
    <row r="413" s="115" customFormat="1" ht="14"/>
    <row r="414" s="115" customFormat="1" ht="14"/>
    <row r="415" s="115" customFormat="1" ht="14"/>
    <row r="416" s="115" customFormat="1" ht="14"/>
    <row r="417" s="115" customFormat="1" ht="14"/>
    <row r="418" s="115" customFormat="1" ht="14"/>
    <row r="419" s="115" customFormat="1" ht="14"/>
    <row r="420" s="115" customFormat="1" ht="14"/>
    <row r="421" s="115" customFormat="1" ht="14"/>
    <row r="422" s="115" customFormat="1" ht="14"/>
    <row r="423" s="115" customFormat="1" ht="14"/>
    <row r="424" s="115" customFormat="1" ht="14"/>
    <row r="425" s="115" customFormat="1" ht="14"/>
    <row r="426" s="115" customFormat="1" ht="14"/>
    <row r="427" s="115" customFormat="1" ht="14"/>
    <row r="428" s="115" customFormat="1" ht="14"/>
    <row r="429" s="115" customFormat="1" ht="14"/>
    <row r="430" s="115" customFormat="1" ht="14"/>
    <row r="431" s="115" customFormat="1" ht="14"/>
    <row r="432" s="115" customFormat="1" ht="14"/>
    <row r="433" s="115" customFormat="1" ht="14"/>
    <row r="434" s="115" customFormat="1" ht="14"/>
    <row r="435" s="115" customFormat="1" ht="14"/>
    <row r="436" s="115" customFormat="1" ht="14"/>
    <row r="437" s="115" customFormat="1" ht="14"/>
    <row r="438" s="115" customFormat="1" ht="14"/>
    <row r="439" s="115" customFormat="1" ht="14"/>
    <row r="440" s="115" customFormat="1" ht="14"/>
    <row r="441" s="115" customFormat="1" ht="14"/>
    <row r="442" s="115" customFormat="1" ht="14"/>
    <row r="443" s="115" customFormat="1" ht="14"/>
    <row r="444" s="115" customFormat="1" ht="14"/>
    <row r="445" s="115" customFormat="1" ht="14"/>
    <row r="446" s="115" customFormat="1" ht="14"/>
    <row r="447" s="115" customFormat="1" ht="14"/>
    <row r="448" s="115" customFormat="1" ht="14"/>
    <row r="449" s="115" customFormat="1" ht="14"/>
    <row r="450" s="115" customFormat="1" ht="14"/>
    <row r="451" s="115" customFormat="1" ht="14"/>
    <row r="452" s="115" customFormat="1" ht="14"/>
    <row r="453" s="115" customFormat="1" ht="14"/>
    <row r="454" s="115" customFormat="1" ht="14"/>
    <row r="455" s="115" customFormat="1" ht="14"/>
    <row r="456" s="115" customFormat="1" ht="14"/>
    <row r="457" s="115" customFormat="1" ht="14"/>
    <row r="458" s="115" customFormat="1" ht="14"/>
    <row r="459" s="115" customFormat="1" ht="14"/>
    <row r="460" s="115" customFormat="1" ht="14"/>
    <row r="461" s="115" customFormat="1" ht="14"/>
    <row r="462" s="115" customFormat="1" ht="14"/>
    <row r="463" s="115" customFormat="1" ht="14"/>
    <row r="464" s="115" customFormat="1" ht="14"/>
    <row r="465" s="115" customFormat="1" ht="14"/>
    <row r="466" s="115" customFormat="1" ht="14"/>
    <row r="467" s="115" customFormat="1" ht="14"/>
    <row r="468" s="115" customFormat="1" ht="14"/>
    <row r="469" s="115" customFormat="1" ht="14"/>
    <row r="470" s="115" customFormat="1" ht="14"/>
    <row r="471" s="115" customFormat="1" ht="14"/>
    <row r="472" s="115" customFormat="1" ht="14"/>
    <row r="473" s="115" customFormat="1" ht="14"/>
    <row r="474" s="115" customFormat="1" ht="14"/>
    <row r="475" s="115" customFormat="1" ht="14"/>
    <row r="476" s="115" customFormat="1" ht="14"/>
    <row r="477" s="115" customFormat="1" ht="14"/>
    <row r="478" s="115" customFormat="1" ht="14"/>
    <row r="479" s="115" customFormat="1" ht="14"/>
    <row r="480" s="115" customFormat="1" ht="14"/>
    <row r="481" s="115" customFormat="1" ht="14"/>
    <row r="482" s="115" customFormat="1" ht="14"/>
    <row r="483" s="115" customFormat="1" ht="14"/>
    <row r="484" s="115" customFormat="1" ht="14"/>
    <row r="485" s="115" customFormat="1" ht="14"/>
    <row r="486" s="115" customFormat="1" ht="14"/>
    <row r="487" s="115" customFormat="1" ht="14"/>
    <row r="488" s="115" customFormat="1" ht="14"/>
    <row r="489" s="115" customFormat="1" ht="14"/>
    <row r="490" s="115" customFormat="1" ht="14"/>
    <row r="491" s="115" customFormat="1" ht="14"/>
    <row r="492" s="115" customFormat="1" ht="14"/>
    <row r="493" s="115" customFormat="1" ht="14"/>
    <row r="494" s="115" customFormat="1" ht="14"/>
    <row r="495" s="115" customFormat="1" ht="14"/>
    <row r="496" s="115" customFormat="1" ht="14"/>
    <row r="497" s="115" customFormat="1" ht="14"/>
    <row r="498" s="115" customFormat="1" ht="14"/>
    <row r="499" s="115" customFormat="1" ht="14"/>
    <row r="500" s="115" customFormat="1" ht="14"/>
    <row r="501" s="115" customFormat="1" ht="14"/>
    <row r="502" s="115" customFormat="1" ht="14"/>
    <row r="503" s="115" customFormat="1" ht="14"/>
    <row r="504" s="115" customFormat="1" ht="14"/>
    <row r="505" s="115" customFormat="1" ht="14"/>
    <row r="506" s="115" customFormat="1" ht="14"/>
    <row r="507" s="115" customFormat="1" ht="14"/>
    <row r="508" s="115" customFormat="1" ht="14"/>
    <row r="509" s="115" customFormat="1" ht="14"/>
    <row r="510" s="115" customFormat="1" ht="14"/>
    <row r="511" s="115" customFormat="1" ht="14"/>
    <row r="512" s="115" customFormat="1" ht="14"/>
    <row r="513" s="115" customFormat="1" ht="14"/>
    <row r="514" s="115" customFormat="1" ht="14"/>
    <row r="515" s="115" customFormat="1" ht="14"/>
    <row r="516" s="115" customFormat="1" ht="14"/>
    <row r="517" s="115" customFormat="1" ht="14"/>
    <row r="518" s="115" customFormat="1" ht="14"/>
    <row r="519" s="115" customFormat="1" ht="14"/>
    <row r="520" s="115" customFormat="1" ht="14"/>
    <row r="521" s="115" customFormat="1" ht="14"/>
    <row r="522" s="115" customFormat="1" ht="14"/>
    <row r="523" s="115" customFormat="1" ht="14"/>
    <row r="524" s="115" customFormat="1" ht="14"/>
    <row r="525" s="115" customFormat="1" ht="14"/>
    <row r="526" s="115" customFormat="1" ht="14"/>
    <row r="527" s="115" customFormat="1" ht="14"/>
    <row r="528" s="115" customFormat="1" ht="14"/>
    <row r="529" s="115" customFormat="1" ht="14"/>
    <row r="530" s="115" customFormat="1" ht="14"/>
    <row r="531" s="115" customFormat="1" ht="14"/>
    <row r="532" s="115" customFormat="1" ht="14"/>
    <row r="533" s="115" customFormat="1" ht="14"/>
    <row r="534" s="115" customFormat="1" ht="14"/>
    <row r="535" s="115" customFormat="1" ht="14"/>
    <row r="536" s="115" customFormat="1" ht="14"/>
    <row r="537" s="115" customFormat="1" ht="14"/>
    <row r="538" s="115" customFormat="1" ht="14"/>
    <row r="539" s="115" customFormat="1" ht="14"/>
    <row r="540" s="115" customFormat="1" ht="14"/>
    <row r="541" s="115" customFormat="1" ht="14"/>
    <row r="542" s="115" customFormat="1" ht="14"/>
    <row r="543" s="115" customFormat="1" ht="14"/>
    <row r="544" s="115" customFormat="1" ht="14"/>
    <row r="545" s="115" customFormat="1" ht="14"/>
    <row r="546" s="115" customFormat="1" ht="14"/>
    <row r="547" s="115" customFormat="1" ht="14"/>
    <row r="548" s="115" customFormat="1" ht="14"/>
    <row r="549" s="115" customFormat="1" ht="14"/>
    <row r="550" s="115" customFormat="1" ht="14"/>
    <row r="551" s="115" customFormat="1" ht="14"/>
    <row r="552" s="115" customFormat="1" ht="14"/>
    <row r="553" s="115" customFormat="1" ht="14"/>
    <row r="554" s="115" customFormat="1" ht="14"/>
    <row r="555" s="115" customFormat="1" ht="14"/>
    <row r="556" s="115" customFormat="1" ht="14"/>
    <row r="557" s="115" customFormat="1" ht="14"/>
    <row r="558" s="115" customFormat="1" ht="14"/>
    <row r="559" s="115" customFormat="1" ht="14"/>
    <row r="560" s="115" customFormat="1" ht="14"/>
    <row r="561" s="115" customFormat="1" ht="14"/>
    <row r="562" s="115" customFormat="1" ht="14"/>
    <row r="563" s="115" customFormat="1" ht="14"/>
    <row r="564" s="115" customFormat="1" ht="14"/>
    <row r="565" s="115" customFormat="1" ht="14"/>
    <row r="566" s="115" customFormat="1" ht="14"/>
    <row r="567" s="115" customFormat="1" ht="14"/>
    <row r="568" s="115" customFormat="1" ht="14"/>
    <row r="569" s="115" customFormat="1" ht="14"/>
    <row r="570" s="115" customFormat="1" ht="14"/>
    <row r="571" s="115" customFormat="1" ht="14"/>
    <row r="572" s="115" customFormat="1" ht="14"/>
    <row r="573" s="115" customFormat="1" ht="14"/>
    <row r="574" s="115" customFormat="1" ht="14"/>
    <row r="575" s="115" customFormat="1" ht="14"/>
    <row r="576" s="115" customFormat="1" ht="14"/>
    <row r="577" s="115" customFormat="1" ht="14"/>
    <row r="578" s="115" customFormat="1" ht="14"/>
    <row r="579" s="115" customFormat="1" ht="14"/>
    <row r="580" s="115" customFormat="1" ht="14"/>
    <row r="581" s="115" customFormat="1" ht="14"/>
    <row r="582" s="115" customFormat="1" ht="14"/>
    <row r="583" s="115" customFormat="1" ht="14"/>
    <row r="584" s="115" customFormat="1" ht="14"/>
    <row r="585" s="115" customFormat="1" ht="14"/>
    <row r="586" s="115" customFormat="1" ht="14"/>
    <row r="587" s="115" customFormat="1" ht="14"/>
    <row r="588" s="115" customFormat="1" ht="14"/>
    <row r="589" s="115" customFormat="1" ht="14"/>
    <row r="590" s="115" customFormat="1" ht="14"/>
    <row r="591" s="115" customFormat="1" ht="14"/>
    <row r="592" s="115" customFormat="1" ht="14"/>
    <row r="593" s="115" customFormat="1" ht="14"/>
    <row r="594" s="115" customFormat="1" ht="14"/>
    <row r="595" s="115" customFormat="1" ht="14"/>
    <row r="596" s="115" customFormat="1" ht="14"/>
    <row r="597" s="115" customFormat="1" ht="14"/>
    <row r="598" s="115" customFormat="1" ht="14"/>
    <row r="599" s="115" customFormat="1" ht="14"/>
    <row r="600" s="115" customFormat="1" ht="14"/>
    <row r="601" s="115" customFormat="1" ht="14"/>
    <row r="602" s="115" customFormat="1" ht="14"/>
    <row r="603" s="115" customFormat="1" ht="14"/>
    <row r="604" s="115" customFormat="1" ht="14"/>
    <row r="605" s="115" customFormat="1" ht="14"/>
    <row r="606" s="115" customFormat="1" ht="14"/>
    <row r="607" s="115" customFormat="1" ht="14"/>
    <row r="608" s="115" customFormat="1" ht="14"/>
    <row r="609" s="115" customFormat="1" ht="14"/>
    <row r="610" s="115" customFormat="1" ht="14"/>
    <row r="611" s="115" customFormat="1" ht="14"/>
    <row r="612" s="115" customFormat="1" ht="14"/>
    <row r="613" s="115" customFormat="1" ht="14"/>
    <row r="614" s="115" customFormat="1" ht="14"/>
    <row r="615" s="115" customFormat="1" ht="14"/>
    <row r="616" s="115" customFormat="1" ht="14"/>
    <row r="617" s="115" customFormat="1" ht="14"/>
    <row r="618" s="115" customFormat="1" ht="14"/>
    <row r="619" s="115" customFormat="1" ht="14"/>
    <row r="620" s="115" customFormat="1" ht="14"/>
    <row r="621" s="115" customFormat="1" ht="14"/>
    <row r="622" s="115" customFormat="1" ht="14"/>
    <row r="623" s="115" customFormat="1" ht="14"/>
    <row r="624" s="115" customFormat="1" ht="14"/>
    <row r="625" s="115" customFormat="1" ht="14"/>
    <row r="626" s="115" customFormat="1" ht="14"/>
    <row r="627" s="115" customFormat="1" ht="14"/>
    <row r="628" s="115" customFormat="1" ht="14"/>
    <row r="629" s="115" customFormat="1" ht="14"/>
    <row r="630" s="115" customFormat="1" ht="14"/>
    <row r="631" s="115" customFormat="1" ht="14"/>
    <row r="632" s="115" customFormat="1" ht="14"/>
    <row r="633" s="115" customFormat="1" ht="14"/>
    <row r="634" s="115" customFormat="1" ht="14"/>
    <row r="635" s="115" customFormat="1" ht="14"/>
    <row r="636" s="115" customFormat="1" ht="14"/>
    <row r="637" s="115" customFormat="1" ht="14"/>
    <row r="638" s="115" customFormat="1" ht="14"/>
    <row r="639" s="115" customFormat="1" ht="14"/>
    <row r="640" s="115" customFormat="1" ht="14"/>
    <row r="641" s="115" customFormat="1" ht="14"/>
    <row r="642" s="115" customFormat="1" ht="14"/>
    <row r="643" s="115" customFormat="1" ht="14"/>
    <row r="644" s="115" customFormat="1" ht="14"/>
    <row r="645" s="115" customFormat="1" ht="14"/>
    <row r="646" s="115" customFormat="1" ht="14"/>
    <row r="647" s="115" customFormat="1" ht="14"/>
    <row r="648" s="115" customFormat="1" ht="14"/>
    <row r="649" s="115" customFormat="1" ht="14"/>
    <row r="650" s="115" customFormat="1" ht="14"/>
    <row r="651" s="115" customFormat="1" ht="14"/>
    <row r="652" s="115" customFormat="1" ht="14"/>
    <row r="653" s="115" customFormat="1" ht="14"/>
    <row r="654" s="115" customFormat="1" ht="14"/>
    <row r="655" s="115" customFormat="1" ht="14"/>
    <row r="656" s="115" customFormat="1" ht="14"/>
    <row r="657" s="115" customFormat="1" ht="14"/>
    <row r="658" s="115" customFormat="1" ht="14"/>
    <row r="659" s="115" customFormat="1" ht="14"/>
    <row r="660" s="115" customFormat="1" ht="14"/>
    <row r="661" s="115" customFormat="1" ht="14"/>
    <row r="662" s="115" customFormat="1" ht="14"/>
    <row r="663" s="115" customFormat="1" ht="14"/>
    <row r="664" s="115" customFormat="1" ht="14"/>
    <row r="665" s="115" customFormat="1" ht="14"/>
    <row r="666" s="115" customFormat="1" ht="14"/>
    <row r="667" s="115" customFormat="1" ht="14"/>
    <row r="668" s="115" customFormat="1" ht="14"/>
    <row r="669" s="115" customFormat="1" ht="14"/>
    <row r="670" s="115" customFormat="1" ht="14"/>
    <row r="671" s="115" customFormat="1" ht="14"/>
    <row r="672" s="115" customFormat="1" ht="14"/>
    <row r="673" s="115" customFormat="1" ht="14"/>
    <row r="674" s="115" customFormat="1" ht="14"/>
    <row r="675" s="115" customFormat="1" ht="14"/>
    <row r="676" s="115" customFormat="1" ht="14"/>
    <row r="677" s="115" customFormat="1" ht="14"/>
    <row r="678" s="115" customFormat="1" ht="14"/>
    <row r="679" s="115" customFormat="1" ht="14"/>
    <row r="680" s="115" customFormat="1" ht="14"/>
    <row r="681" s="115" customFormat="1" ht="14"/>
    <row r="682" s="115" customFormat="1" ht="14"/>
    <row r="683" s="115" customFormat="1" ht="14"/>
    <row r="684" s="115" customFormat="1" ht="14"/>
    <row r="685" s="115" customFormat="1" ht="14"/>
    <row r="686" s="115" customFormat="1" ht="14"/>
    <row r="687" s="115" customFormat="1" ht="14"/>
    <row r="688" s="115" customFormat="1" ht="14"/>
    <row r="689" s="115" customFormat="1" ht="14"/>
    <row r="690" s="115" customFormat="1" ht="14"/>
    <row r="691" s="115" customFormat="1" ht="14"/>
    <row r="692" s="115" customFormat="1" ht="14"/>
    <row r="693" s="115" customFormat="1" ht="14"/>
    <row r="694" s="115" customFormat="1" ht="14"/>
    <row r="695" s="115" customFormat="1" ht="14"/>
    <row r="696" s="115" customFormat="1" ht="14"/>
    <row r="697" s="115" customFormat="1" ht="14"/>
    <row r="698" s="115" customFormat="1" ht="14"/>
    <row r="699" s="115" customFormat="1" ht="14"/>
    <row r="700" s="115" customFormat="1" ht="14"/>
    <row r="701" s="115" customFormat="1" ht="14"/>
    <row r="702" s="115" customFormat="1" ht="14"/>
    <row r="703" s="115" customFormat="1" ht="14"/>
    <row r="704" s="115" customFormat="1" ht="14"/>
    <row r="705" s="115" customFormat="1" ht="14"/>
    <row r="706" s="115" customFormat="1" ht="14"/>
    <row r="707" s="115" customFormat="1" ht="14"/>
    <row r="708" s="115" customFormat="1" ht="14"/>
    <row r="709" s="115" customFormat="1" ht="14"/>
    <row r="710" s="115" customFormat="1" ht="14"/>
    <row r="711" s="115" customFormat="1" ht="14"/>
    <row r="712" s="115" customFormat="1" ht="14"/>
    <row r="713" s="115" customFormat="1" ht="14"/>
    <row r="714" s="115" customFormat="1" ht="14"/>
    <row r="715" s="115" customFormat="1" ht="14"/>
    <row r="716" s="115" customFormat="1" ht="14"/>
    <row r="717" s="115" customFormat="1" ht="14"/>
    <row r="718" s="115" customFormat="1" ht="14"/>
    <row r="719" s="115" customFormat="1" ht="14"/>
    <row r="720" s="115" customFormat="1" ht="14"/>
    <row r="721" s="115" customFormat="1" ht="14"/>
    <row r="722" s="115" customFormat="1" ht="14"/>
    <row r="723" s="115" customFormat="1" ht="14"/>
    <row r="724" s="115" customFormat="1" ht="14"/>
    <row r="725" s="115" customFormat="1" ht="14"/>
    <row r="726" s="115" customFormat="1" ht="14"/>
    <row r="727" s="115" customFormat="1" ht="14"/>
    <row r="728" s="115" customFormat="1" ht="14"/>
    <row r="729" s="115" customFormat="1" ht="14"/>
    <row r="730" s="115" customFormat="1" ht="14"/>
    <row r="731" s="115" customFormat="1" ht="14"/>
    <row r="732" s="115" customFormat="1" ht="14"/>
    <row r="733" s="115" customFormat="1" ht="14"/>
    <row r="734" s="115" customFormat="1" ht="14"/>
    <row r="735" s="115" customFormat="1" ht="14"/>
    <row r="736" s="115" customFormat="1" ht="14"/>
    <row r="737" s="115" customFormat="1" ht="14"/>
    <row r="738" s="115" customFormat="1" ht="14"/>
    <row r="739" s="115" customFormat="1" ht="14"/>
    <row r="740" s="115" customFormat="1" ht="14"/>
    <row r="741" s="115" customFormat="1" ht="14"/>
    <row r="742" s="115" customFormat="1" ht="14"/>
    <row r="743" s="115" customFormat="1" ht="14"/>
    <row r="744" s="115" customFormat="1" ht="14"/>
    <row r="745" s="115" customFormat="1" ht="14"/>
    <row r="746" s="115" customFormat="1" ht="14"/>
    <row r="747" s="115" customFormat="1" ht="14"/>
    <row r="748" s="115" customFormat="1" ht="14"/>
    <row r="749" s="115" customFormat="1" ht="14"/>
    <row r="750" s="115" customFormat="1" ht="14"/>
    <row r="751" s="115" customFormat="1" ht="14"/>
    <row r="752" s="115" customFormat="1" ht="14"/>
    <row r="753" s="115" customFormat="1" ht="14"/>
    <row r="754" s="115" customFormat="1" ht="14"/>
    <row r="755" s="115" customFormat="1" ht="14"/>
    <row r="756" s="115" customFormat="1" ht="14"/>
    <row r="757" s="115" customFormat="1" ht="14"/>
    <row r="758" s="115" customFormat="1" ht="14"/>
    <row r="759" s="115" customFormat="1" ht="14"/>
    <row r="760" s="115" customFormat="1" ht="14"/>
    <row r="761" s="115" customFormat="1" ht="14"/>
    <row r="762" s="115" customFormat="1" ht="14"/>
    <row r="763" s="115" customFormat="1" ht="14"/>
    <row r="764" s="115" customFormat="1" ht="14"/>
    <row r="765" s="115" customFormat="1" ht="14"/>
    <row r="766" s="115" customFormat="1" ht="14"/>
    <row r="767" s="115" customFormat="1" ht="14"/>
    <row r="768" s="115" customFormat="1" ht="14"/>
    <row r="769" s="115" customFormat="1" ht="14"/>
    <row r="770" s="115" customFormat="1" ht="14"/>
    <row r="771" s="115" customFormat="1" ht="14"/>
    <row r="772" s="115" customFormat="1" ht="14"/>
    <row r="773" s="115" customFormat="1" ht="14"/>
    <row r="774" s="115" customFormat="1" ht="14"/>
    <row r="775" s="115" customFormat="1" ht="14"/>
    <row r="776" s="115" customFormat="1" ht="14"/>
    <row r="777" s="115" customFormat="1" ht="14"/>
    <row r="778" s="115" customFormat="1" ht="14"/>
    <row r="779" s="115" customFormat="1" ht="14"/>
    <row r="780" s="115" customFormat="1" ht="14"/>
    <row r="781" s="115" customFormat="1" ht="14"/>
    <row r="782" s="115" customFormat="1" ht="14"/>
    <row r="783" s="115" customFormat="1" ht="14"/>
    <row r="784" s="115" customFormat="1" ht="14"/>
    <row r="785" s="115" customFormat="1" ht="14"/>
    <row r="786" s="115" customFormat="1" ht="14"/>
    <row r="787" s="115" customFormat="1" ht="14"/>
    <row r="788" s="115" customFormat="1" ht="14"/>
    <row r="789" s="115" customFormat="1" ht="14"/>
    <row r="790" s="115" customFormat="1" ht="14"/>
    <row r="791" s="115" customFormat="1" ht="14"/>
    <row r="792" s="115" customFormat="1" ht="14"/>
    <row r="793" s="115" customFormat="1" ht="14"/>
    <row r="794" s="115" customFormat="1" ht="14"/>
    <row r="795" s="115" customFormat="1" ht="14"/>
    <row r="796" s="115" customFormat="1" ht="14"/>
    <row r="797" s="115" customFormat="1" ht="14"/>
    <row r="798" s="115" customFormat="1" ht="14"/>
    <row r="799" s="115" customFormat="1" ht="14"/>
    <row r="800" s="115" customFormat="1" ht="14"/>
    <row r="801" s="115" customFormat="1" ht="14"/>
    <row r="802" s="115" customFormat="1" ht="14"/>
    <row r="803" s="115" customFormat="1" ht="14"/>
    <row r="804" s="115" customFormat="1" ht="14"/>
    <row r="805" s="115" customFormat="1" ht="14"/>
    <row r="806" s="115" customFormat="1" ht="14"/>
    <row r="807" s="115" customFormat="1" ht="14"/>
    <row r="808" s="115" customFormat="1" ht="14"/>
    <row r="809" s="115" customFormat="1" ht="14"/>
    <row r="810" s="115" customFormat="1" ht="14"/>
    <row r="811" s="115" customFormat="1" ht="14"/>
    <row r="812" s="115" customFormat="1" ht="14"/>
    <row r="813" s="115" customFormat="1" ht="14"/>
    <row r="814" s="115" customFormat="1" ht="14"/>
    <row r="815" s="115" customFormat="1" ht="14"/>
    <row r="816" s="115" customFormat="1" ht="14"/>
    <row r="817" s="115" customFormat="1" ht="14"/>
    <row r="818" s="115" customFormat="1" ht="14"/>
    <row r="819" s="115" customFormat="1" ht="14"/>
    <row r="820" s="115" customFormat="1" ht="14"/>
    <row r="821" s="115" customFormat="1" ht="14"/>
    <row r="822" s="115" customFormat="1" ht="14"/>
    <row r="823" s="115" customFormat="1" ht="14"/>
    <row r="824" s="115" customFormat="1" ht="14"/>
    <row r="825" s="115" customFormat="1" ht="14"/>
    <row r="826" s="115" customFormat="1" ht="14"/>
    <row r="827" s="115" customFormat="1" ht="14"/>
    <row r="828" s="115" customFormat="1" ht="14"/>
    <row r="829" s="115" customFormat="1" ht="14"/>
    <row r="830" s="115" customFormat="1" ht="14"/>
    <row r="831" s="115" customFormat="1" ht="14"/>
    <row r="832" s="115" customFormat="1" ht="14"/>
    <row r="833" s="115" customFormat="1" ht="14"/>
    <row r="834" s="115" customFormat="1" ht="14"/>
    <row r="835" s="115" customFormat="1" ht="14"/>
    <row r="836" s="115" customFormat="1" ht="14"/>
    <row r="837" s="115" customFormat="1" ht="14"/>
    <row r="838" s="115" customFormat="1" ht="14"/>
    <row r="839" s="115" customFormat="1" ht="14"/>
    <row r="840" s="115" customFormat="1" ht="14"/>
    <row r="841" s="115" customFormat="1" ht="14"/>
    <row r="842" s="115" customFormat="1" ht="14"/>
    <row r="843" s="115" customFormat="1" ht="14"/>
    <row r="844" s="115" customFormat="1" ht="14"/>
    <row r="845" s="115" customFormat="1" ht="14"/>
    <row r="846" s="115" customFormat="1" ht="14"/>
    <row r="847" s="115" customFormat="1" ht="14"/>
    <row r="848" s="115" customFormat="1" ht="14"/>
    <row r="849" s="115" customFormat="1" ht="14"/>
    <row r="850" s="115" customFormat="1" ht="14"/>
    <row r="851" s="115" customFormat="1" ht="14"/>
    <row r="852" s="115" customFormat="1" ht="14"/>
    <row r="853" s="115" customFormat="1" ht="14"/>
    <row r="854" s="115" customFormat="1" ht="14"/>
    <row r="855" s="115" customFormat="1" ht="14"/>
    <row r="856" s="115" customFormat="1" ht="14"/>
    <row r="857" s="115" customFormat="1" ht="14"/>
    <row r="858" s="115" customFormat="1" ht="14"/>
    <row r="859" s="115" customFormat="1" ht="14"/>
    <row r="860" s="115" customFormat="1" ht="14"/>
    <row r="861" s="115" customFormat="1" ht="14"/>
    <row r="862" s="115" customFormat="1" ht="14"/>
    <row r="863" s="115" customFormat="1" ht="14"/>
    <row r="864" s="115" customFormat="1" ht="14"/>
    <row r="865" s="115" customFormat="1" ht="14"/>
    <row r="866" s="115" customFormat="1" ht="14"/>
    <row r="867" s="115" customFormat="1" ht="14"/>
    <row r="868" s="115" customFormat="1" ht="14"/>
    <row r="869" s="115" customFormat="1" ht="14"/>
    <row r="870" s="115" customFormat="1" ht="14"/>
    <row r="871" s="115" customFormat="1" ht="14"/>
    <row r="872" s="115" customFormat="1" ht="14"/>
    <row r="873" s="115" customFormat="1" ht="14"/>
    <row r="874" s="115" customFormat="1" ht="14"/>
    <row r="875" s="115" customFormat="1" ht="14"/>
    <row r="876" s="115" customFormat="1" ht="14"/>
    <row r="877" s="115" customFormat="1" ht="14"/>
    <row r="878" s="115" customFormat="1" ht="14"/>
    <row r="879" s="115" customFormat="1" ht="14"/>
    <row r="880" s="115" customFormat="1" ht="14"/>
    <row r="881" s="115" customFormat="1" ht="14"/>
    <row r="882" s="115" customFormat="1" ht="14"/>
    <row r="883" s="115" customFormat="1" ht="14"/>
    <row r="884" s="115" customFormat="1" ht="14"/>
    <row r="885" s="115" customFormat="1" ht="14"/>
    <row r="886" s="115" customFormat="1" ht="14"/>
    <row r="887" s="115" customFormat="1" ht="14"/>
    <row r="888" s="115" customFormat="1" ht="14"/>
    <row r="889" s="115" customFormat="1" ht="14"/>
    <row r="890" s="115" customFormat="1" ht="14"/>
    <row r="891" s="115" customFormat="1" ht="14"/>
    <row r="892" s="115" customFormat="1" ht="14"/>
    <row r="893" s="115" customFormat="1" ht="14"/>
    <row r="894" s="115" customFormat="1" ht="14"/>
    <row r="895" s="115" customFormat="1" ht="14"/>
    <row r="896" s="115" customFormat="1" ht="14"/>
    <row r="897" s="115" customFormat="1" ht="14"/>
    <row r="898" s="115" customFormat="1" ht="14"/>
    <row r="899" s="115" customFormat="1" ht="14"/>
    <row r="900" s="115" customFormat="1" ht="14"/>
    <row r="901" s="115" customFormat="1" ht="14"/>
    <row r="902" s="115" customFormat="1" ht="14"/>
    <row r="903" s="115" customFormat="1" ht="14"/>
    <row r="904" s="115" customFormat="1" ht="14"/>
    <row r="905" s="115" customFormat="1" ht="14"/>
    <row r="906" s="115" customFormat="1" ht="14"/>
    <row r="907" s="115" customFormat="1" ht="14"/>
    <row r="908" s="115" customFormat="1" ht="14"/>
    <row r="909" s="115" customFormat="1" ht="14"/>
    <row r="910" s="115" customFormat="1" ht="14"/>
    <row r="911" s="115" customFormat="1" ht="14"/>
    <row r="912" s="115" customFormat="1" ht="14"/>
    <row r="913" s="115" customFormat="1" ht="14"/>
    <row r="914" s="115" customFormat="1" ht="14"/>
    <row r="915" s="115" customFormat="1" ht="14"/>
    <row r="916" s="115" customFormat="1" ht="14"/>
    <row r="917" s="115" customFormat="1" ht="14"/>
    <row r="918" s="115" customFormat="1" ht="14"/>
    <row r="919" s="115" customFormat="1" ht="14"/>
    <row r="920" s="115" customFormat="1" ht="14"/>
    <row r="921" s="115" customFormat="1" ht="14"/>
    <row r="922" s="115" customFormat="1" ht="14"/>
    <row r="923" s="115" customFormat="1" ht="14"/>
    <row r="924" s="115" customFormat="1" ht="14"/>
    <row r="925" s="115" customFormat="1" ht="14"/>
    <row r="926" s="115" customFormat="1" ht="14"/>
    <row r="927" s="115" customFormat="1" ht="14"/>
    <row r="928" s="115" customFormat="1" ht="14"/>
    <row r="929" s="115" customFormat="1" ht="14"/>
    <row r="930" s="115" customFormat="1" ht="14"/>
    <row r="931" s="115" customFormat="1" ht="14"/>
    <row r="932" s="115" customFormat="1" ht="14"/>
    <row r="933" s="115" customFormat="1" ht="14"/>
    <row r="934" s="115" customFormat="1" ht="14"/>
    <row r="935" s="115" customFormat="1" ht="14"/>
    <row r="936" s="115" customFormat="1" ht="14"/>
    <row r="937" s="115" customFormat="1" ht="14"/>
    <row r="938" s="115" customFormat="1" ht="14"/>
    <row r="939" s="115" customFormat="1" ht="14"/>
    <row r="940" s="115" customFormat="1" ht="14"/>
    <row r="941" s="115" customFormat="1" ht="14"/>
    <row r="942" s="115" customFormat="1" ht="14"/>
    <row r="943" s="115" customFormat="1" ht="14"/>
    <row r="944" s="115" customFormat="1" ht="14"/>
    <row r="945" s="115" customFormat="1" ht="14"/>
    <row r="946" s="115" customFormat="1" ht="14"/>
    <row r="947" s="115" customFormat="1" ht="14"/>
    <row r="948" s="115" customFormat="1" ht="14"/>
    <row r="949" s="115" customFormat="1" ht="14"/>
    <row r="950" s="115" customFormat="1" ht="14"/>
    <row r="951" s="115" customFormat="1" ht="14"/>
    <row r="952" s="115" customFormat="1" ht="14"/>
    <row r="953" s="115" customFormat="1" ht="14"/>
    <row r="954" s="115" customFormat="1" ht="14"/>
    <row r="955" s="115" customFormat="1" ht="14"/>
    <row r="956" s="115" customFormat="1" ht="14"/>
    <row r="957" s="115" customFormat="1" ht="14"/>
    <row r="958" s="115" customFormat="1" ht="14"/>
    <row r="959" s="115" customFormat="1" ht="14"/>
    <row r="960" s="115" customFormat="1" ht="14"/>
    <row r="961" s="115" customFormat="1" ht="14"/>
    <row r="962" s="115" customFormat="1" ht="14"/>
    <row r="963" s="115" customFormat="1" ht="14"/>
    <row r="964" s="115" customFormat="1" ht="14"/>
    <row r="965" s="115" customFormat="1" ht="14"/>
    <row r="966" s="115" customFormat="1" ht="14"/>
    <row r="967" s="115" customFormat="1" ht="14"/>
    <row r="968" s="115" customFormat="1" ht="14"/>
    <row r="969" s="115" customFormat="1" ht="14"/>
    <row r="970" s="115" customFormat="1" ht="14"/>
    <row r="971" s="115" customFormat="1" ht="14"/>
    <row r="972" s="115" customFormat="1" ht="14"/>
    <row r="973" s="115" customFormat="1" ht="14"/>
    <row r="974" s="115" customFormat="1" ht="14"/>
    <row r="975" s="115" customFormat="1" ht="14"/>
    <row r="976" s="115" customFormat="1" ht="14"/>
    <row r="977" s="115" customFormat="1" ht="14"/>
    <row r="978" s="115" customFormat="1" ht="14"/>
    <row r="979" s="115" customFormat="1" ht="14"/>
    <row r="980" s="115" customFormat="1" ht="14"/>
    <row r="981" s="115" customFormat="1" ht="14"/>
    <row r="982" s="115" customFormat="1" ht="14"/>
    <row r="983" s="115" customFormat="1" ht="14"/>
    <row r="984" s="115" customFormat="1" ht="14"/>
    <row r="985" s="115" customFormat="1" ht="14"/>
    <row r="986" s="115" customFormat="1" ht="14"/>
    <row r="987" s="115" customFormat="1" ht="14"/>
    <row r="988" s="115" customFormat="1" ht="14"/>
    <row r="989" s="115" customFormat="1" ht="14"/>
    <row r="990" s="115" customFormat="1" ht="14"/>
    <row r="991" s="115" customFormat="1" ht="14"/>
    <row r="992" s="115" customFormat="1" ht="14"/>
    <row r="993" s="115" customFormat="1" ht="14"/>
    <row r="994" s="115" customFormat="1" ht="14"/>
    <row r="995" s="115" customFormat="1" ht="14"/>
    <row r="996" s="115" customFormat="1" ht="14"/>
    <row r="997" s="115" customFormat="1" ht="14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9B218-1A06-40AD-9A33-F81AE8D4F364}">
  <sheetPr>
    <tabColor theme="5" tint="-0.249977111117893"/>
  </sheetPr>
  <dimension ref="A1:AI997"/>
  <sheetViews>
    <sheetView showGridLines="0" workbookViewId="0">
      <pane xSplit="2" topLeftCell="C1" activePane="topRight" state="frozen"/>
      <selection pane="topRight" activeCell="W20" sqref="W20"/>
    </sheetView>
  </sheetViews>
  <sheetFormatPr baseColWidth="10" defaultColWidth="12.5" defaultRowHeight="15.75" customHeight="1"/>
  <cols>
    <col min="1" max="1" width="28.1640625" style="115" customWidth="1"/>
    <col min="2" max="2" width="11.83203125" style="115" customWidth="1"/>
    <col min="3" max="3" width="17" style="115" customWidth="1"/>
    <col min="4" max="4" width="10.5" style="115" customWidth="1"/>
    <col min="5" max="5" width="8.5" style="115" customWidth="1"/>
    <col min="6" max="6" width="7.5" style="115" customWidth="1"/>
    <col min="7" max="7" width="9.5" style="115" customWidth="1"/>
    <col min="8" max="8" width="9" style="115" customWidth="1"/>
    <col min="9" max="9" width="6.83203125" style="115" customWidth="1"/>
    <col min="10" max="11" width="6.5" style="115" customWidth="1"/>
    <col min="12" max="12" width="7" style="115" customWidth="1"/>
    <col min="13" max="13" width="7.6640625" style="115" customWidth="1"/>
    <col min="14" max="14" width="7.1640625" style="115" customWidth="1"/>
    <col min="15" max="15" width="7" style="115" customWidth="1"/>
    <col min="16" max="16" width="7.33203125" style="115" customWidth="1"/>
    <col min="17" max="18" width="6.5" style="115" customWidth="1"/>
    <col min="19" max="19" width="7.33203125" style="115" customWidth="1"/>
    <col min="20" max="20" width="7.5" style="115" customWidth="1"/>
    <col min="21" max="21" width="6.6640625" style="115" customWidth="1"/>
    <col min="22" max="22" width="7.1640625" style="115" customWidth="1"/>
    <col min="23" max="23" width="7.5" style="115" customWidth="1"/>
    <col min="24" max="24" width="9.33203125" style="115" customWidth="1"/>
    <col min="25" max="25" width="9.5" style="115" customWidth="1"/>
    <col min="26" max="26" width="9.33203125" style="115" customWidth="1"/>
    <col min="27" max="27" width="8.6640625" style="115" customWidth="1"/>
    <col min="28" max="28" width="15.33203125" style="115" customWidth="1"/>
    <col min="29" max="29" width="14" style="115" customWidth="1"/>
    <col min="30" max="30" width="7.5" style="115" customWidth="1"/>
    <col min="31" max="31" width="17.6640625" style="115" customWidth="1"/>
    <col min="32" max="35" width="7.5" style="115" customWidth="1"/>
    <col min="36" max="16384" width="12.5" style="115"/>
  </cols>
  <sheetData>
    <row r="1" spans="1:35" ht="15.75" customHeight="1">
      <c r="A1" s="107"/>
      <c r="B1" s="108"/>
      <c r="C1" s="109">
        <v>45870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54" t="s">
        <v>1</v>
      </c>
      <c r="B3" s="254" t="s">
        <v>2</v>
      </c>
      <c r="C3" s="254" t="s">
        <v>3</v>
      </c>
      <c r="D3" s="254" t="s">
        <v>4</v>
      </c>
      <c r="E3" s="259" t="s">
        <v>5</v>
      </c>
      <c r="F3" s="255"/>
      <c r="G3" s="255"/>
      <c r="H3" s="255"/>
      <c r="I3" s="141">
        <f>C1</f>
        <v>45870</v>
      </c>
      <c r="J3" s="141">
        <f t="shared" ref="J3:W3" si="0">I3+1</f>
        <v>45871</v>
      </c>
      <c r="K3" s="141">
        <f t="shared" si="0"/>
        <v>45872</v>
      </c>
      <c r="L3" s="141">
        <f t="shared" si="0"/>
        <v>45873</v>
      </c>
      <c r="M3" s="141">
        <f t="shared" si="0"/>
        <v>45874</v>
      </c>
      <c r="N3" s="141">
        <f t="shared" si="0"/>
        <v>45875</v>
      </c>
      <c r="O3" s="141">
        <f t="shared" si="0"/>
        <v>45876</v>
      </c>
      <c r="P3" s="141">
        <f t="shared" si="0"/>
        <v>45877</v>
      </c>
      <c r="Q3" s="141">
        <f t="shared" si="0"/>
        <v>45878</v>
      </c>
      <c r="R3" s="141">
        <f t="shared" si="0"/>
        <v>45879</v>
      </c>
      <c r="S3" s="141">
        <f t="shared" si="0"/>
        <v>45880</v>
      </c>
      <c r="T3" s="141">
        <f t="shared" si="0"/>
        <v>45881</v>
      </c>
      <c r="U3" s="141">
        <f t="shared" si="0"/>
        <v>45882</v>
      </c>
      <c r="V3" s="141">
        <f t="shared" si="0"/>
        <v>45883</v>
      </c>
      <c r="W3" s="141">
        <f t="shared" si="0"/>
        <v>45884</v>
      </c>
      <c r="X3" s="254" t="s">
        <v>6</v>
      </c>
      <c r="Y3" s="254" t="s">
        <v>7</v>
      </c>
      <c r="Z3" s="209"/>
      <c r="AA3" s="114"/>
      <c r="AB3" s="114"/>
    </row>
    <row r="4" spans="1:35" ht="27" customHeight="1">
      <c r="A4" s="255"/>
      <c r="B4" s="255"/>
      <c r="C4" s="255"/>
      <c r="D4" s="255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Fri</v>
      </c>
      <c r="J4" s="127" t="str">
        <f t="shared" si="1"/>
        <v>Sat</v>
      </c>
      <c r="K4" s="127" t="str">
        <f t="shared" si="1"/>
        <v>Sun</v>
      </c>
      <c r="L4" s="222" t="str">
        <f t="shared" si="1"/>
        <v>Mon</v>
      </c>
      <c r="M4" s="222" t="str">
        <f t="shared" si="1"/>
        <v>Tue</v>
      </c>
      <c r="N4" s="221" t="str">
        <f t="shared" si="1"/>
        <v>Wed</v>
      </c>
      <c r="O4" s="221" t="str">
        <f t="shared" si="1"/>
        <v>Thu</v>
      </c>
      <c r="P4" s="222" t="str">
        <f t="shared" si="1"/>
        <v>Fri</v>
      </c>
      <c r="Q4" s="222" t="str">
        <f t="shared" si="1"/>
        <v>Sat</v>
      </c>
      <c r="R4" s="222" t="str">
        <f t="shared" si="1"/>
        <v>Sun</v>
      </c>
      <c r="S4" s="222" t="str">
        <f t="shared" si="1"/>
        <v>Mon</v>
      </c>
      <c r="T4" s="222" t="str">
        <f t="shared" si="1"/>
        <v>Tue</v>
      </c>
      <c r="U4" s="222" t="str">
        <f t="shared" si="1"/>
        <v>Wed</v>
      </c>
      <c r="V4" s="222" t="str">
        <f t="shared" si="1"/>
        <v>Thu</v>
      </c>
      <c r="W4" s="222" t="str">
        <f t="shared" si="1"/>
        <v>Fri</v>
      </c>
      <c r="X4" s="255"/>
      <c r="Y4" s="255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 t="shared" ref="G5:G10" si="5">SUM(I5:W5)</f>
        <v>80</v>
      </c>
      <c r="H5" s="135">
        <v>0</v>
      </c>
      <c r="I5" s="183">
        <v>8</v>
      </c>
      <c r="J5" s="200"/>
      <c r="K5" s="200"/>
      <c r="L5" s="183">
        <v>8</v>
      </c>
      <c r="M5" s="183">
        <v>8</v>
      </c>
      <c r="N5" s="183">
        <v>8</v>
      </c>
      <c r="O5" s="183">
        <v>8</v>
      </c>
      <c r="P5" s="183">
        <v>8</v>
      </c>
      <c r="Q5" s="200"/>
      <c r="R5" s="200"/>
      <c r="S5" s="183">
        <v>8</v>
      </c>
      <c r="T5" s="183">
        <v>8</v>
      </c>
      <c r="U5" s="183">
        <v>8</v>
      </c>
      <c r="V5" s="183">
        <v>8</v>
      </c>
      <c r="W5" s="235"/>
      <c r="X5" s="134">
        <f>Y5-COUNTA(I5:W5)</f>
        <v>0</v>
      </c>
      <c r="Y5" s="136">
        <v>10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72</v>
      </c>
      <c r="G6" s="134">
        <f t="shared" si="5"/>
        <v>72</v>
      </c>
      <c r="H6" s="135">
        <v>0</v>
      </c>
      <c r="I6" s="183">
        <v>8</v>
      </c>
      <c r="J6" s="200"/>
      <c r="K6" s="200"/>
      <c r="L6" s="183">
        <v>8</v>
      </c>
      <c r="M6" s="183">
        <v>8</v>
      </c>
      <c r="N6" s="183">
        <v>8</v>
      </c>
      <c r="O6" s="183">
        <v>8</v>
      </c>
      <c r="P6" s="236"/>
      <c r="Q6" s="200"/>
      <c r="R6" s="200"/>
      <c r="S6" s="183">
        <v>8</v>
      </c>
      <c r="T6" s="183">
        <v>8</v>
      </c>
      <c r="U6" s="183">
        <v>8</v>
      </c>
      <c r="V6" s="183">
        <v>8</v>
      </c>
      <c r="W6" s="235"/>
      <c r="X6" s="134">
        <f t="shared" ref="X6:X14" si="6">Y6-COUNTA(I6:W6)</f>
        <v>1</v>
      </c>
      <c r="Y6" s="136">
        <v>10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183">
        <v>8</v>
      </c>
      <c r="J7" s="200"/>
      <c r="K7" s="200"/>
      <c r="L7" s="183">
        <v>8</v>
      </c>
      <c r="M7" s="183">
        <v>8</v>
      </c>
      <c r="N7" s="183">
        <v>8</v>
      </c>
      <c r="O7" s="183">
        <v>8</v>
      </c>
      <c r="P7" s="183">
        <v>8</v>
      </c>
      <c r="Q7" s="200"/>
      <c r="R7" s="200"/>
      <c r="S7" s="183">
        <v>8</v>
      </c>
      <c r="T7" s="183">
        <v>8</v>
      </c>
      <c r="U7" s="236"/>
      <c r="V7" s="183">
        <v>8</v>
      </c>
      <c r="W7" s="235"/>
      <c r="X7" s="134">
        <f t="shared" si="6"/>
        <v>1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183">
        <v>8</v>
      </c>
      <c r="J8" s="200"/>
      <c r="K8" s="200"/>
      <c r="L8" s="183">
        <v>8</v>
      </c>
      <c r="M8" s="183">
        <v>8</v>
      </c>
      <c r="N8" s="183">
        <v>8</v>
      </c>
      <c r="O8" s="183">
        <v>8</v>
      </c>
      <c r="P8" s="183">
        <v>8</v>
      </c>
      <c r="Q8" s="200"/>
      <c r="R8" s="200"/>
      <c r="S8" s="183">
        <v>8</v>
      </c>
      <c r="T8" s="183">
        <v>8</v>
      </c>
      <c r="U8" s="183">
        <v>8</v>
      </c>
      <c r="V8" s="183">
        <v>8</v>
      </c>
      <c r="W8" s="235"/>
      <c r="X8" s="134">
        <f t="shared" si="6"/>
        <v>0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72</v>
      </c>
      <c r="G9" s="134">
        <f t="shared" si="5"/>
        <v>72</v>
      </c>
      <c r="H9" s="135">
        <v>0</v>
      </c>
      <c r="I9" s="183">
        <v>8</v>
      </c>
      <c r="J9" s="200"/>
      <c r="K9" s="200"/>
      <c r="L9" s="183">
        <v>8</v>
      </c>
      <c r="M9" s="183">
        <v>8</v>
      </c>
      <c r="N9" s="183">
        <v>8</v>
      </c>
      <c r="O9" s="183">
        <v>8</v>
      </c>
      <c r="P9" s="236"/>
      <c r="Q9" s="200"/>
      <c r="R9" s="200"/>
      <c r="S9" s="183">
        <v>8</v>
      </c>
      <c r="T9" s="183">
        <v>8</v>
      </c>
      <c r="U9" s="183">
        <v>8</v>
      </c>
      <c r="V9" s="183">
        <v>8</v>
      </c>
      <c r="W9" s="235"/>
      <c r="X9" s="134">
        <f t="shared" si="6"/>
        <v>1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72</v>
      </c>
      <c r="G10" s="134">
        <f t="shared" si="5"/>
        <v>72</v>
      </c>
      <c r="H10" s="135">
        <v>0</v>
      </c>
      <c r="I10" s="236"/>
      <c r="J10" s="200"/>
      <c r="K10" s="200"/>
      <c r="L10" s="183">
        <v>8</v>
      </c>
      <c r="M10" s="183">
        <v>8</v>
      </c>
      <c r="N10" s="183">
        <v>8</v>
      </c>
      <c r="O10" s="183">
        <v>8</v>
      </c>
      <c r="P10" s="183">
        <v>8</v>
      </c>
      <c r="Q10" s="200"/>
      <c r="R10" s="200"/>
      <c r="S10" s="183">
        <v>8</v>
      </c>
      <c r="T10" s="183">
        <v>8</v>
      </c>
      <c r="U10" s="183">
        <v>8</v>
      </c>
      <c r="V10" s="183">
        <v>8</v>
      </c>
      <c r="W10" s="235"/>
      <c r="X10" s="134">
        <f t="shared" si="6"/>
        <v>1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448</v>
      </c>
      <c r="G15" s="224">
        <f t="shared" si="8"/>
        <v>448</v>
      </c>
      <c r="H15" s="224">
        <f t="shared" si="8"/>
        <v>0</v>
      </c>
      <c r="I15" s="224">
        <f t="shared" si="8"/>
        <v>40</v>
      </c>
      <c r="J15" s="224">
        <f t="shared" si="8"/>
        <v>0</v>
      </c>
      <c r="K15" s="224">
        <f t="shared" si="8"/>
        <v>0</v>
      </c>
      <c r="L15" s="224">
        <f t="shared" si="8"/>
        <v>48</v>
      </c>
      <c r="M15" s="224">
        <f t="shared" si="8"/>
        <v>48</v>
      </c>
      <c r="N15" s="224">
        <f t="shared" si="8"/>
        <v>48</v>
      </c>
      <c r="O15" s="224">
        <f t="shared" si="8"/>
        <v>48</v>
      </c>
      <c r="P15" s="224">
        <f t="shared" si="8"/>
        <v>32</v>
      </c>
      <c r="Q15" s="224">
        <f t="shared" si="8"/>
        <v>0</v>
      </c>
      <c r="R15" s="224">
        <f t="shared" si="8"/>
        <v>0</v>
      </c>
      <c r="S15" s="224">
        <f t="shared" si="8"/>
        <v>48</v>
      </c>
      <c r="T15" s="224">
        <f t="shared" si="8"/>
        <v>48</v>
      </c>
      <c r="U15" s="224">
        <f t="shared" si="8"/>
        <v>40</v>
      </c>
      <c r="V15" s="224">
        <f t="shared" si="8"/>
        <v>48</v>
      </c>
      <c r="W15" s="224">
        <f t="shared" si="8"/>
        <v>0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54" t="s">
        <v>1</v>
      </c>
      <c r="B18" s="254" t="s">
        <v>2</v>
      </c>
      <c r="C18" s="254" t="s">
        <v>3</v>
      </c>
      <c r="D18" s="254" t="s">
        <v>4</v>
      </c>
      <c r="E18" s="259" t="s">
        <v>5</v>
      </c>
      <c r="F18" s="255"/>
      <c r="G18" s="255"/>
      <c r="H18" s="255"/>
      <c r="I18" s="141">
        <f>W3+1</f>
        <v>45885</v>
      </c>
      <c r="J18" s="141">
        <f t="shared" ref="J18:X18" si="9">I18+1</f>
        <v>45886</v>
      </c>
      <c r="K18" s="141">
        <f t="shared" si="9"/>
        <v>45887</v>
      </c>
      <c r="L18" s="141">
        <f t="shared" si="9"/>
        <v>45888</v>
      </c>
      <c r="M18" s="141">
        <f t="shared" si="9"/>
        <v>45889</v>
      </c>
      <c r="N18" s="141">
        <f t="shared" si="9"/>
        <v>45890</v>
      </c>
      <c r="O18" s="141">
        <f t="shared" si="9"/>
        <v>45891</v>
      </c>
      <c r="P18" s="141">
        <f t="shared" si="9"/>
        <v>45892</v>
      </c>
      <c r="Q18" s="141">
        <f t="shared" si="9"/>
        <v>45893</v>
      </c>
      <c r="R18" s="141">
        <f t="shared" si="9"/>
        <v>45894</v>
      </c>
      <c r="S18" s="141">
        <f t="shared" si="9"/>
        <v>45895</v>
      </c>
      <c r="T18" s="141">
        <f t="shared" si="9"/>
        <v>45896</v>
      </c>
      <c r="U18" s="141">
        <f t="shared" si="9"/>
        <v>45897</v>
      </c>
      <c r="V18" s="141">
        <f t="shared" si="9"/>
        <v>45898</v>
      </c>
      <c r="W18" s="141">
        <f t="shared" si="9"/>
        <v>45899</v>
      </c>
      <c r="X18" s="141">
        <f t="shared" si="9"/>
        <v>45900</v>
      </c>
      <c r="Y18" s="254" t="s">
        <v>6</v>
      </c>
      <c r="Z18" s="254" t="s">
        <v>7</v>
      </c>
      <c r="AA18" s="209"/>
      <c r="AB18" s="114"/>
    </row>
    <row r="19" spans="1:29" ht="26.25" customHeight="1">
      <c r="A19" s="255"/>
      <c r="B19" s="255"/>
      <c r="C19" s="255"/>
      <c r="D19" s="255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X19" si="10">IF(I18="","",TEXT(WEEKDAY(I18), "ddd"))</f>
        <v>Sat</v>
      </c>
      <c r="J19" s="222" t="str">
        <f t="shared" si="10"/>
        <v>Sun</v>
      </c>
      <c r="K19" s="222" t="str">
        <f t="shared" si="10"/>
        <v>Mon</v>
      </c>
      <c r="L19" s="222" t="str">
        <f t="shared" si="10"/>
        <v>Tue</v>
      </c>
      <c r="M19" s="222" t="str">
        <f t="shared" si="10"/>
        <v>Wed</v>
      </c>
      <c r="N19" s="222" t="str">
        <f t="shared" si="10"/>
        <v>Thu</v>
      </c>
      <c r="O19" s="222" t="str">
        <f t="shared" si="10"/>
        <v>Fri</v>
      </c>
      <c r="P19" s="127" t="str">
        <f t="shared" si="10"/>
        <v>Sat</v>
      </c>
      <c r="Q19" s="127" t="str">
        <f t="shared" si="10"/>
        <v>Sun</v>
      </c>
      <c r="R19" s="222" t="str">
        <f t="shared" si="10"/>
        <v>Mon</v>
      </c>
      <c r="S19" s="222" t="str">
        <f t="shared" si="10"/>
        <v>Tue</v>
      </c>
      <c r="T19" s="222" t="str">
        <f t="shared" si="10"/>
        <v>Wed</v>
      </c>
      <c r="U19" s="222" t="str">
        <f t="shared" si="10"/>
        <v>Thu</v>
      </c>
      <c r="V19" s="222" t="str">
        <f t="shared" si="10"/>
        <v>Fri</v>
      </c>
      <c r="W19" s="127" t="str">
        <f t="shared" si="10"/>
        <v>Sat</v>
      </c>
      <c r="X19" s="127" t="str">
        <f t="shared" si="10"/>
        <v>Sun</v>
      </c>
      <c r="Y19" s="255"/>
      <c r="Z19" s="255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72</v>
      </c>
      <c r="E20" s="134">
        <f t="shared" ref="E20:E25" si="12">Z20*8</f>
        <v>72</v>
      </c>
      <c r="F20" s="134">
        <f t="shared" ref="F20:F25" si="13">G20+H20</f>
        <v>72</v>
      </c>
      <c r="G20" s="134">
        <f t="shared" ref="G20:G25" si="14">SUM(I20:X20)</f>
        <v>72</v>
      </c>
      <c r="H20" s="135">
        <v>0</v>
      </c>
      <c r="I20" s="199"/>
      <c r="J20" s="199"/>
      <c r="K20" s="180">
        <v>8</v>
      </c>
      <c r="L20" s="180">
        <v>8</v>
      </c>
      <c r="M20" s="180">
        <v>8</v>
      </c>
      <c r="N20" s="180">
        <v>8</v>
      </c>
      <c r="O20" s="180">
        <v>8</v>
      </c>
      <c r="P20" s="199"/>
      <c r="Q20" s="199"/>
      <c r="R20" s="180">
        <v>8</v>
      </c>
      <c r="S20" s="180">
        <v>8</v>
      </c>
      <c r="T20" s="185"/>
      <c r="U20" s="180">
        <v>8</v>
      </c>
      <c r="V20" s="180">
        <v>8</v>
      </c>
      <c r="W20" s="199"/>
      <c r="X20" s="199"/>
      <c r="Y20" s="134">
        <f t="shared" ref="Y20:Y25" si="15">Z20-COUNTA(I20:X20)</f>
        <v>0</v>
      </c>
      <c r="Z20" s="136">
        <v>9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72</v>
      </c>
      <c r="E21" s="134">
        <f t="shared" si="12"/>
        <v>72</v>
      </c>
      <c r="F21" s="134">
        <f t="shared" si="13"/>
        <v>64</v>
      </c>
      <c r="G21" s="134">
        <f t="shared" si="14"/>
        <v>64</v>
      </c>
      <c r="H21" s="135">
        <v>0</v>
      </c>
      <c r="I21" s="199"/>
      <c r="J21" s="199"/>
      <c r="K21" s="186"/>
      <c r="L21" s="180">
        <v>8</v>
      </c>
      <c r="M21" s="180">
        <v>8</v>
      </c>
      <c r="N21" s="180">
        <v>8</v>
      </c>
      <c r="O21" s="183">
        <v>8</v>
      </c>
      <c r="P21" s="199"/>
      <c r="Q21" s="199"/>
      <c r="R21" s="183">
        <v>8</v>
      </c>
      <c r="S21" s="180">
        <v>8</v>
      </c>
      <c r="T21" s="185"/>
      <c r="U21" s="180">
        <v>8</v>
      </c>
      <c r="V21" s="183">
        <v>8</v>
      </c>
      <c r="W21" s="199"/>
      <c r="X21" s="199"/>
      <c r="Y21" s="134">
        <f t="shared" si="15"/>
        <v>1</v>
      </c>
      <c r="Z21" s="136">
        <v>9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72</v>
      </c>
      <c r="E22" s="134">
        <f t="shared" si="12"/>
        <v>72</v>
      </c>
      <c r="F22" s="134">
        <f t="shared" si="13"/>
        <v>72</v>
      </c>
      <c r="G22" s="134">
        <f t="shared" si="14"/>
        <v>72</v>
      </c>
      <c r="H22" s="135">
        <v>0</v>
      </c>
      <c r="I22" s="199"/>
      <c r="J22" s="199"/>
      <c r="K22" s="180">
        <v>8</v>
      </c>
      <c r="L22" s="180">
        <v>8</v>
      </c>
      <c r="M22" s="180">
        <v>8</v>
      </c>
      <c r="N22" s="180">
        <v>8</v>
      </c>
      <c r="O22" s="180">
        <v>8</v>
      </c>
      <c r="P22" s="199"/>
      <c r="Q22" s="199"/>
      <c r="R22" s="180">
        <v>8</v>
      </c>
      <c r="S22" s="180">
        <v>8</v>
      </c>
      <c r="T22" s="185"/>
      <c r="U22" s="180">
        <v>8</v>
      </c>
      <c r="V22" s="180">
        <v>8</v>
      </c>
      <c r="W22" s="199"/>
      <c r="X22" s="199"/>
      <c r="Y22" s="134">
        <f t="shared" si="15"/>
        <v>0</v>
      </c>
      <c r="Z22" s="136">
        <v>9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72</v>
      </c>
      <c r="E23" s="134">
        <f t="shared" si="12"/>
        <v>72</v>
      </c>
      <c r="F23" s="134">
        <f t="shared" si="13"/>
        <v>72</v>
      </c>
      <c r="G23" s="134">
        <f t="shared" si="14"/>
        <v>72</v>
      </c>
      <c r="H23" s="135">
        <v>0</v>
      </c>
      <c r="I23" s="199"/>
      <c r="J23" s="199"/>
      <c r="K23" s="180">
        <v>8</v>
      </c>
      <c r="L23" s="180">
        <v>8</v>
      </c>
      <c r="M23" s="180">
        <v>8</v>
      </c>
      <c r="N23" s="180">
        <v>8</v>
      </c>
      <c r="O23" s="183">
        <v>8</v>
      </c>
      <c r="P23" s="199"/>
      <c r="Q23" s="199"/>
      <c r="R23" s="183">
        <v>8</v>
      </c>
      <c r="S23" s="180">
        <v>8</v>
      </c>
      <c r="T23" s="185"/>
      <c r="U23" s="180">
        <v>8</v>
      </c>
      <c r="V23" s="183">
        <v>8</v>
      </c>
      <c r="W23" s="199"/>
      <c r="X23" s="199"/>
      <c r="Y23" s="134"/>
      <c r="Z23" s="136">
        <v>9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72</v>
      </c>
      <c r="E24" s="134">
        <f t="shared" si="12"/>
        <v>72</v>
      </c>
      <c r="F24" s="134">
        <f t="shared" si="13"/>
        <v>72</v>
      </c>
      <c r="G24" s="134">
        <f t="shared" si="14"/>
        <v>72</v>
      </c>
      <c r="H24" s="135">
        <v>0</v>
      </c>
      <c r="I24" s="199"/>
      <c r="J24" s="199"/>
      <c r="K24" s="180">
        <v>8</v>
      </c>
      <c r="L24" s="180">
        <v>8</v>
      </c>
      <c r="M24" s="180">
        <v>8</v>
      </c>
      <c r="N24" s="180">
        <v>8</v>
      </c>
      <c r="O24" s="180">
        <v>8</v>
      </c>
      <c r="P24" s="199"/>
      <c r="Q24" s="199"/>
      <c r="R24" s="180">
        <v>8</v>
      </c>
      <c r="S24" s="180">
        <v>8</v>
      </c>
      <c r="T24" s="185"/>
      <c r="U24" s="180">
        <v>8</v>
      </c>
      <c r="V24" s="180">
        <v>8</v>
      </c>
      <c r="W24" s="199"/>
      <c r="X24" s="199"/>
      <c r="Y24" s="134">
        <f t="shared" si="15"/>
        <v>0</v>
      </c>
      <c r="Z24" s="136">
        <v>9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72</v>
      </c>
      <c r="E25" s="134">
        <f t="shared" si="12"/>
        <v>72</v>
      </c>
      <c r="F25" s="134">
        <f t="shared" si="13"/>
        <v>72</v>
      </c>
      <c r="G25" s="134">
        <f t="shared" si="14"/>
        <v>72</v>
      </c>
      <c r="H25" s="135">
        <v>0</v>
      </c>
      <c r="I25" s="199"/>
      <c r="J25" s="199"/>
      <c r="K25" s="183">
        <v>8</v>
      </c>
      <c r="L25" s="183">
        <v>8</v>
      </c>
      <c r="M25" s="183">
        <v>8</v>
      </c>
      <c r="N25" s="183">
        <v>8</v>
      </c>
      <c r="O25" s="183">
        <v>8</v>
      </c>
      <c r="P25" s="199"/>
      <c r="Q25" s="199"/>
      <c r="R25" s="183">
        <v>8</v>
      </c>
      <c r="S25" s="183">
        <v>8</v>
      </c>
      <c r="T25" s="235"/>
      <c r="U25" s="183">
        <v>8</v>
      </c>
      <c r="V25" s="183">
        <v>8</v>
      </c>
      <c r="W25" s="199"/>
      <c r="X25" s="199"/>
      <c r="Y25" s="134">
        <f t="shared" si="15"/>
        <v>0</v>
      </c>
      <c r="Z25" s="136">
        <v>9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432</v>
      </c>
      <c r="E30" s="224">
        <f t="shared" si="16"/>
        <v>432</v>
      </c>
      <c r="F30" s="224">
        <f t="shared" si="16"/>
        <v>424</v>
      </c>
      <c r="G30" s="224">
        <f t="shared" si="16"/>
        <v>424</v>
      </c>
      <c r="H30" s="224">
        <f t="shared" si="16"/>
        <v>0</v>
      </c>
      <c r="I30" s="224">
        <f t="shared" si="16"/>
        <v>0</v>
      </c>
      <c r="J30" s="224">
        <f t="shared" si="16"/>
        <v>0</v>
      </c>
      <c r="K30" s="224">
        <f t="shared" si="16"/>
        <v>40</v>
      </c>
      <c r="L30" s="224">
        <f t="shared" si="16"/>
        <v>48</v>
      </c>
      <c r="M30" s="224">
        <f t="shared" si="16"/>
        <v>48</v>
      </c>
      <c r="N30" s="224">
        <f t="shared" si="16"/>
        <v>48</v>
      </c>
      <c r="O30" s="224">
        <f t="shared" si="16"/>
        <v>48</v>
      </c>
      <c r="P30" s="224">
        <f t="shared" si="16"/>
        <v>0</v>
      </c>
      <c r="Q30" s="224">
        <f t="shared" si="16"/>
        <v>0</v>
      </c>
      <c r="R30" s="224">
        <f t="shared" si="16"/>
        <v>48</v>
      </c>
      <c r="S30" s="224">
        <f t="shared" si="16"/>
        <v>48</v>
      </c>
      <c r="T30" s="224">
        <f t="shared" si="16"/>
        <v>0</v>
      </c>
      <c r="U30" s="224">
        <f t="shared" si="16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152</v>
      </c>
      <c r="C34" s="154">
        <f t="shared" ref="C34:C39" si="17">E5+E20</f>
        <v>152</v>
      </c>
      <c r="D34" s="155">
        <f t="shared" ref="D34:D39" si="18">B34</f>
        <v>152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136</v>
      </c>
      <c r="C35" s="154">
        <f t="shared" si="17"/>
        <v>152</v>
      </c>
      <c r="D35" s="155">
        <f t="shared" si="18"/>
        <v>136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144</v>
      </c>
      <c r="C36" s="154">
        <f t="shared" si="17"/>
        <v>152</v>
      </c>
      <c r="D36" s="155">
        <f t="shared" si="18"/>
        <v>144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152</v>
      </c>
      <c r="C37" s="154">
        <f t="shared" si="17"/>
        <v>152</v>
      </c>
      <c r="D37" s="155">
        <f t="shared" si="18"/>
        <v>152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144</v>
      </c>
      <c r="C38" s="217">
        <f t="shared" si="17"/>
        <v>152</v>
      </c>
      <c r="D38" s="218">
        <f t="shared" si="18"/>
        <v>144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144</v>
      </c>
      <c r="C39" s="159">
        <f t="shared" si="17"/>
        <v>152</v>
      </c>
      <c r="D39" s="160">
        <f t="shared" si="18"/>
        <v>144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6" t="s">
        <v>0</v>
      </c>
      <c r="B46" s="257"/>
      <c r="C46" s="258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1</v>
      </c>
      <c r="C49" s="171">
        <f>B49*8</f>
        <v>8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6" t="s">
        <v>22</v>
      </c>
      <c r="B53" s="257"/>
      <c r="C53" s="258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10</v>
      </c>
      <c r="C55" s="171">
        <f t="shared" ref="C55:C56" si="21">B55*8</f>
        <v>80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1</v>
      </c>
      <c r="C56" s="171">
        <f t="shared" si="21"/>
        <v>8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9</v>
      </c>
      <c r="C57" s="173">
        <f t="shared" si="22"/>
        <v>72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152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4"/>
    <row r="261" s="115" customFormat="1" ht="14"/>
    <row r="262" s="115" customFormat="1" ht="14"/>
    <row r="263" s="115" customFormat="1" ht="14"/>
    <row r="264" s="115" customFormat="1" ht="14"/>
    <row r="265" s="115" customFormat="1" ht="14"/>
    <row r="266" s="115" customFormat="1" ht="14"/>
    <row r="267" s="115" customFormat="1" ht="14"/>
    <row r="268" s="115" customFormat="1" ht="14"/>
    <row r="269" s="115" customFormat="1" ht="14"/>
    <row r="270" s="115" customFormat="1" ht="14"/>
    <row r="271" s="115" customFormat="1" ht="14"/>
    <row r="272" s="115" customFormat="1" ht="14"/>
    <row r="273" s="115" customFormat="1" ht="14"/>
    <row r="274" s="115" customFormat="1" ht="14"/>
    <row r="275" s="115" customFormat="1" ht="14"/>
    <row r="276" s="115" customFormat="1" ht="14"/>
    <row r="277" s="115" customFormat="1" ht="14"/>
    <row r="278" s="115" customFormat="1" ht="14"/>
    <row r="279" s="115" customFormat="1" ht="14"/>
    <row r="280" s="115" customFormat="1" ht="14"/>
    <row r="281" s="115" customFormat="1" ht="14"/>
    <row r="282" s="115" customFormat="1" ht="14"/>
    <row r="283" s="115" customFormat="1" ht="14"/>
    <row r="284" s="115" customFormat="1" ht="14"/>
    <row r="285" s="115" customFormat="1" ht="14"/>
    <row r="286" s="115" customFormat="1" ht="14"/>
    <row r="287" s="115" customFormat="1" ht="14"/>
    <row r="288" s="115" customFormat="1" ht="14"/>
    <row r="289" s="115" customFormat="1" ht="14"/>
    <row r="290" s="115" customFormat="1" ht="14"/>
    <row r="291" s="115" customFormat="1" ht="14"/>
    <row r="292" s="115" customFormat="1" ht="14"/>
    <row r="293" s="115" customFormat="1" ht="14"/>
    <row r="294" s="115" customFormat="1" ht="14"/>
    <row r="295" s="115" customFormat="1" ht="14"/>
    <row r="296" s="115" customFormat="1" ht="14"/>
    <row r="297" s="115" customFormat="1" ht="14"/>
    <row r="298" s="115" customFormat="1" ht="14"/>
    <row r="299" s="115" customFormat="1" ht="14"/>
    <row r="300" s="115" customFormat="1" ht="14"/>
    <row r="301" s="115" customFormat="1" ht="14"/>
    <row r="302" s="115" customFormat="1" ht="14"/>
    <row r="303" s="115" customFormat="1" ht="14"/>
    <row r="304" s="115" customFormat="1" ht="14"/>
    <row r="305" s="115" customFormat="1" ht="14"/>
    <row r="306" s="115" customFormat="1" ht="14"/>
    <row r="307" s="115" customFormat="1" ht="14"/>
    <row r="308" s="115" customFormat="1" ht="14"/>
    <row r="309" s="115" customFormat="1" ht="14"/>
    <row r="310" s="115" customFormat="1" ht="14"/>
    <row r="311" s="115" customFormat="1" ht="14"/>
    <row r="312" s="115" customFormat="1" ht="14"/>
    <row r="313" s="115" customFormat="1" ht="14"/>
    <row r="314" s="115" customFormat="1" ht="14"/>
    <row r="315" s="115" customFormat="1" ht="14"/>
    <row r="316" s="115" customFormat="1" ht="14"/>
    <row r="317" s="115" customFormat="1" ht="14"/>
    <row r="318" s="115" customFormat="1" ht="14"/>
    <row r="319" s="115" customFormat="1" ht="14"/>
    <row r="320" s="115" customFormat="1" ht="14"/>
    <row r="321" s="115" customFormat="1" ht="14"/>
    <row r="322" s="115" customFormat="1" ht="14"/>
    <row r="323" s="115" customFormat="1" ht="14"/>
    <row r="324" s="115" customFormat="1" ht="14"/>
    <row r="325" s="115" customFormat="1" ht="14"/>
    <row r="326" s="115" customFormat="1" ht="14"/>
    <row r="327" s="115" customFormat="1" ht="14"/>
    <row r="328" s="115" customFormat="1" ht="14"/>
    <row r="329" s="115" customFormat="1" ht="14"/>
    <row r="330" s="115" customFormat="1" ht="14"/>
    <row r="331" s="115" customFormat="1" ht="14"/>
    <row r="332" s="115" customFormat="1" ht="14"/>
    <row r="333" s="115" customFormat="1" ht="14"/>
    <row r="334" s="115" customFormat="1" ht="14"/>
    <row r="335" s="115" customFormat="1" ht="14"/>
    <row r="336" s="115" customFormat="1" ht="14"/>
    <row r="337" s="115" customFormat="1" ht="14"/>
    <row r="338" s="115" customFormat="1" ht="14"/>
    <row r="339" s="115" customFormat="1" ht="14"/>
    <row r="340" s="115" customFormat="1" ht="14"/>
    <row r="341" s="115" customFormat="1" ht="14"/>
    <row r="342" s="115" customFormat="1" ht="14"/>
    <row r="343" s="115" customFormat="1" ht="14"/>
    <row r="344" s="115" customFormat="1" ht="14"/>
    <row r="345" s="115" customFormat="1" ht="14"/>
    <row r="346" s="115" customFormat="1" ht="14"/>
    <row r="347" s="115" customFormat="1" ht="14"/>
    <row r="348" s="115" customFormat="1" ht="14"/>
    <row r="349" s="115" customFormat="1" ht="14"/>
    <row r="350" s="115" customFormat="1" ht="14"/>
    <row r="351" s="115" customFormat="1" ht="14"/>
    <row r="352" s="115" customFormat="1" ht="14"/>
    <row r="353" s="115" customFormat="1" ht="14"/>
    <row r="354" s="115" customFormat="1" ht="14"/>
    <row r="355" s="115" customFormat="1" ht="14"/>
    <row r="356" s="115" customFormat="1" ht="14"/>
    <row r="357" s="115" customFormat="1" ht="14"/>
    <row r="358" s="115" customFormat="1" ht="14"/>
    <row r="359" s="115" customFormat="1" ht="14"/>
    <row r="360" s="115" customFormat="1" ht="14"/>
    <row r="361" s="115" customFormat="1" ht="14"/>
    <row r="362" s="115" customFormat="1" ht="14"/>
    <row r="363" s="115" customFormat="1" ht="14"/>
    <row r="364" s="115" customFormat="1" ht="14"/>
    <row r="365" s="115" customFormat="1" ht="14"/>
    <row r="366" s="115" customFormat="1" ht="14"/>
    <row r="367" s="115" customFormat="1" ht="14"/>
    <row r="368" s="115" customFormat="1" ht="14"/>
    <row r="369" s="115" customFormat="1" ht="14"/>
    <row r="370" s="115" customFormat="1" ht="14"/>
    <row r="371" s="115" customFormat="1" ht="14"/>
    <row r="372" s="115" customFormat="1" ht="14"/>
    <row r="373" s="115" customFormat="1" ht="14"/>
    <row r="374" s="115" customFormat="1" ht="14"/>
    <row r="375" s="115" customFormat="1" ht="14"/>
    <row r="376" s="115" customFormat="1" ht="14"/>
    <row r="377" s="115" customFormat="1" ht="14"/>
    <row r="378" s="115" customFormat="1" ht="14"/>
    <row r="379" s="115" customFormat="1" ht="14"/>
    <row r="380" s="115" customFormat="1" ht="14"/>
    <row r="381" s="115" customFormat="1" ht="14"/>
    <row r="382" s="115" customFormat="1" ht="14"/>
    <row r="383" s="115" customFormat="1" ht="14"/>
    <row r="384" s="115" customFormat="1" ht="14"/>
    <row r="385" s="115" customFormat="1" ht="14"/>
    <row r="386" s="115" customFormat="1" ht="14"/>
    <row r="387" s="115" customFormat="1" ht="14"/>
    <row r="388" s="115" customFormat="1" ht="14"/>
    <row r="389" s="115" customFormat="1" ht="14"/>
    <row r="390" s="115" customFormat="1" ht="14"/>
    <row r="391" s="115" customFormat="1" ht="14"/>
    <row r="392" s="115" customFormat="1" ht="14"/>
    <row r="393" s="115" customFormat="1" ht="14"/>
    <row r="394" s="115" customFormat="1" ht="14"/>
    <row r="395" s="115" customFormat="1" ht="14"/>
    <row r="396" s="115" customFormat="1" ht="14"/>
    <row r="397" s="115" customFormat="1" ht="14"/>
    <row r="398" s="115" customFormat="1" ht="14"/>
    <row r="399" s="115" customFormat="1" ht="14"/>
    <row r="400" s="115" customFormat="1" ht="14"/>
    <row r="401" s="115" customFormat="1" ht="14"/>
    <row r="402" s="115" customFormat="1" ht="14"/>
    <row r="403" s="115" customFormat="1" ht="14"/>
    <row r="404" s="115" customFormat="1" ht="14"/>
    <row r="405" s="115" customFormat="1" ht="14"/>
    <row r="406" s="115" customFormat="1" ht="14"/>
    <row r="407" s="115" customFormat="1" ht="14"/>
    <row r="408" s="115" customFormat="1" ht="14"/>
    <row r="409" s="115" customFormat="1" ht="14"/>
    <row r="410" s="115" customFormat="1" ht="14"/>
    <row r="411" s="115" customFormat="1" ht="14"/>
    <row r="412" s="115" customFormat="1" ht="14"/>
    <row r="413" s="115" customFormat="1" ht="14"/>
    <row r="414" s="115" customFormat="1" ht="14"/>
    <row r="415" s="115" customFormat="1" ht="14"/>
    <row r="416" s="115" customFormat="1" ht="14"/>
    <row r="417" s="115" customFormat="1" ht="14"/>
    <row r="418" s="115" customFormat="1" ht="14"/>
    <row r="419" s="115" customFormat="1" ht="14"/>
    <row r="420" s="115" customFormat="1" ht="14"/>
    <row r="421" s="115" customFormat="1" ht="14"/>
    <row r="422" s="115" customFormat="1" ht="14"/>
    <row r="423" s="115" customFormat="1" ht="14"/>
    <row r="424" s="115" customFormat="1" ht="14"/>
    <row r="425" s="115" customFormat="1" ht="14"/>
    <row r="426" s="115" customFormat="1" ht="14"/>
    <row r="427" s="115" customFormat="1" ht="14"/>
    <row r="428" s="115" customFormat="1" ht="14"/>
    <row r="429" s="115" customFormat="1" ht="14"/>
    <row r="430" s="115" customFormat="1" ht="14"/>
    <row r="431" s="115" customFormat="1" ht="14"/>
    <row r="432" s="115" customFormat="1" ht="14"/>
    <row r="433" s="115" customFormat="1" ht="14"/>
    <row r="434" s="115" customFormat="1" ht="14"/>
    <row r="435" s="115" customFormat="1" ht="14"/>
    <row r="436" s="115" customFormat="1" ht="14"/>
    <row r="437" s="115" customFormat="1" ht="14"/>
    <row r="438" s="115" customFormat="1" ht="14"/>
    <row r="439" s="115" customFormat="1" ht="14"/>
    <row r="440" s="115" customFormat="1" ht="14"/>
    <row r="441" s="115" customFormat="1" ht="14"/>
    <row r="442" s="115" customFormat="1" ht="14"/>
    <row r="443" s="115" customFormat="1" ht="14"/>
    <row r="444" s="115" customFormat="1" ht="14"/>
    <row r="445" s="115" customFormat="1" ht="14"/>
    <row r="446" s="115" customFormat="1" ht="14"/>
    <row r="447" s="115" customFormat="1" ht="14"/>
    <row r="448" s="115" customFormat="1" ht="14"/>
    <row r="449" s="115" customFormat="1" ht="14"/>
    <row r="450" s="115" customFormat="1" ht="14"/>
    <row r="451" s="115" customFormat="1" ht="14"/>
    <row r="452" s="115" customFormat="1" ht="14"/>
    <row r="453" s="115" customFormat="1" ht="14"/>
    <row r="454" s="115" customFormat="1" ht="14"/>
    <row r="455" s="115" customFormat="1" ht="14"/>
    <row r="456" s="115" customFormat="1" ht="14"/>
    <row r="457" s="115" customFormat="1" ht="14"/>
    <row r="458" s="115" customFormat="1" ht="14"/>
    <row r="459" s="115" customFormat="1" ht="14"/>
    <row r="460" s="115" customFormat="1" ht="14"/>
    <row r="461" s="115" customFormat="1" ht="14"/>
    <row r="462" s="115" customFormat="1" ht="14"/>
    <row r="463" s="115" customFormat="1" ht="14"/>
    <row r="464" s="115" customFormat="1" ht="14"/>
    <row r="465" s="115" customFormat="1" ht="14"/>
    <row r="466" s="115" customFormat="1" ht="14"/>
    <row r="467" s="115" customFormat="1" ht="14"/>
    <row r="468" s="115" customFormat="1" ht="14"/>
    <row r="469" s="115" customFormat="1" ht="14"/>
    <row r="470" s="115" customFormat="1" ht="14"/>
    <row r="471" s="115" customFormat="1" ht="14"/>
    <row r="472" s="115" customFormat="1" ht="14"/>
    <row r="473" s="115" customFormat="1" ht="14"/>
    <row r="474" s="115" customFormat="1" ht="14"/>
    <row r="475" s="115" customFormat="1" ht="14"/>
    <row r="476" s="115" customFormat="1" ht="14"/>
    <row r="477" s="115" customFormat="1" ht="14"/>
    <row r="478" s="115" customFormat="1" ht="14"/>
    <row r="479" s="115" customFormat="1" ht="14"/>
    <row r="480" s="115" customFormat="1" ht="14"/>
    <row r="481" s="115" customFormat="1" ht="14"/>
    <row r="482" s="115" customFormat="1" ht="14"/>
    <row r="483" s="115" customFormat="1" ht="14"/>
    <row r="484" s="115" customFormat="1" ht="14"/>
    <row r="485" s="115" customFormat="1" ht="14"/>
    <row r="486" s="115" customFormat="1" ht="14"/>
    <row r="487" s="115" customFormat="1" ht="14"/>
    <row r="488" s="115" customFormat="1" ht="14"/>
    <row r="489" s="115" customFormat="1" ht="14"/>
    <row r="490" s="115" customFormat="1" ht="14"/>
    <row r="491" s="115" customFormat="1" ht="14"/>
    <row r="492" s="115" customFormat="1" ht="14"/>
    <row r="493" s="115" customFormat="1" ht="14"/>
    <row r="494" s="115" customFormat="1" ht="14"/>
    <row r="495" s="115" customFormat="1" ht="14"/>
    <row r="496" s="115" customFormat="1" ht="14"/>
    <row r="497" s="115" customFormat="1" ht="14"/>
    <row r="498" s="115" customFormat="1" ht="14"/>
    <row r="499" s="115" customFormat="1" ht="14"/>
    <row r="500" s="115" customFormat="1" ht="14"/>
    <row r="501" s="115" customFormat="1" ht="14"/>
    <row r="502" s="115" customFormat="1" ht="14"/>
    <row r="503" s="115" customFormat="1" ht="14"/>
    <row r="504" s="115" customFormat="1" ht="14"/>
    <row r="505" s="115" customFormat="1" ht="14"/>
    <row r="506" s="115" customFormat="1" ht="14"/>
    <row r="507" s="115" customFormat="1" ht="14"/>
    <row r="508" s="115" customFormat="1" ht="14"/>
    <row r="509" s="115" customFormat="1" ht="14"/>
    <row r="510" s="115" customFormat="1" ht="14"/>
    <row r="511" s="115" customFormat="1" ht="14"/>
    <row r="512" s="115" customFormat="1" ht="14"/>
    <row r="513" s="115" customFormat="1" ht="14"/>
    <row r="514" s="115" customFormat="1" ht="14"/>
    <row r="515" s="115" customFormat="1" ht="14"/>
    <row r="516" s="115" customFormat="1" ht="14"/>
    <row r="517" s="115" customFormat="1" ht="14"/>
    <row r="518" s="115" customFormat="1" ht="14"/>
    <row r="519" s="115" customFormat="1" ht="14"/>
    <row r="520" s="115" customFormat="1" ht="14"/>
    <row r="521" s="115" customFormat="1" ht="14"/>
    <row r="522" s="115" customFormat="1" ht="14"/>
    <row r="523" s="115" customFormat="1" ht="14"/>
    <row r="524" s="115" customFormat="1" ht="14"/>
    <row r="525" s="115" customFormat="1" ht="14"/>
    <row r="526" s="115" customFormat="1" ht="14"/>
    <row r="527" s="115" customFormat="1" ht="14"/>
    <row r="528" s="115" customFormat="1" ht="14"/>
    <row r="529" s="115" customFormat="1" ht="14"/>
    <row r="530" s="115" customFormat="1" ht="14"/>
    <row r="531" s="115" customFormat="1" ht="14"/>
    <row r="532" s="115" customFormat="1" ht="14"/>
    <row r="533" s="115" customFormat="1" ht="14"/>
    <row r="534" s="115" customFormat="1" ht="14"/>
    <row r="535" s="115" customFormat="1" ht="14"/>
    <row r="536" s="115" customFormat="1" ht="14"/>
    <row r="537" s="115" customFormat="1" ht="14"/>
    <row r="538" s="115" customFormat="1" ht="14"/>
    <row r="539" s="115" customFormat="1" ht="14"/>
    <row r="540" s="115" customFormat="1" ht="14"/>
    <row r="541" s="115" customFormat="1" ht="14"/>
    <row r="542" s="115" customFormat="1" ht="14"/>
    <row r="543" s="115" customFormat="1" ht="14"/>
    <row r="544" s="115" customFormat="1" ht="14"/>
    <row r="545" s="115" customFormat="1" ht="14"/>
    <row r="546" s="115" customFormat="1" ht="14"/>
    <row r="547" s="115" customFormat="1" ht="14"/>
    <row r="548" s="115" customFormat="1" ht="14"/>
    <row r="549" s="115" customFormat="1" ht="14"/>
    <row r="550" s="115" customFormat="1" ht="14"/>
    <row r="551" s="115" customFormat="1" ht="14"/>
    <row r="552" s="115" customFormat="1" ht="14"/>
    <row r="553" s="115" customFormat="1" ht="14"/>
    <row r="554" s="115" customFormat="1" ht="14"/>
    <row r="555" s="115" customFormat="1" ht="14"/>
    <row r="556" s="115" customFormat="1" ht="14"/>
    <row r="557" s="115" customFormat="1" ht="14"/>
    <row r="558" s="115" customFormat="1" ht="14"/>
    <row r="559" s="115" customFormat="1" ht="14"/>
    <row r="560" s="115" customFormat="1" ht="14"/>
    <row r="561" s="115" customFormat="1" ht="14"/>
    <row r="562" s="115" customFormat="1" ht="14"/>
    <row r="563" s="115" customFormat="1" ht="14"/>
    <row r="564" s="115" customFormat="1" ht="14"/>
    <row r="565" s="115" customFormat="1" ht="14"/>
    <row r="566" s="115" customFormat="1" ht="14"/>
    <row r="567" s="115" customFormat="1" ht="14"/>
    <row r="568" s="115" customFormat="1" ht="14"/>
    <row r="569" s="115" customFormat="1" ht="14"/>
    <row r="570" s="115" customFormat="1" ht="14"/>
    <row r="571" s="115" customFormat="1" ht="14"/>
    <row r="572" s="115" customFormat="1" ht="14"/>
    <row r="573" s="115" customFormat="1" ht="14"/>
    <row r="574" s="115" customFormat="1" ht="14"/>
    <row r="575" s="115" customFormat="1" ht="14"/>
    <row r="576" s="115" customFormat="1" ht="14"/>
    <row r="577" s="115" customFormat="1" ht="14"/>
    <row r="578" s="115" customFormat="1" ht="14"/>
    <row r="579" s="115" customFormat="1" ht="14"/>
    <row r="580" s="115" customFormat="1" ht="14"/>
    <row r="581" s="115" customFormat="1" ht="14"/>
    <row r="582" s="115" customFormat="1" ht="14"/>
    <row r="583" s="115" customFormat="1" ht="14"/>
    <row r="584" s="115" customFormat="1" ht="14"/>
    <row r="585" s="115" customFormat="1" ht="14"/>
    <row r="586" s="115" customFormat="1" ht="14"/>
    <row r="587" s="115" customFormat="1" ht="14"/>
    <row r="588" s="115" customFormat="1" ht="14"/>
    <row r="589" s="115" customFormat="1" ht="14"/>
    <row r="590" s="115" customFormat="1" ht="14"/>
    <row r="591" s="115" customFormat="1" ht="14"/>
    <row r="592" s="115" customFormat="1" ht="14"/>
    <row r="593" s="115" customFormat="1" ht="14"/>
    <row r="594" s="115" customFormat="1" ht="14"/>
    <row r="595" s="115" customFormat="1" ht="14"/>
    <row r="596" s="115" customFormat="1" ht="14"/>
    <row r="597" s="115" customFormat="1" ht="14"/>
    <row r="598" s="115" customFormat="1" ht="14"/>
    <row r="599" s="115" customFormat="1" ht="14"/>
    <row r="600" s="115" customFormat="1" ht="14"/>
    <row r="601" s="115" customFormat="1" ht="14"/>
    <row r="602" s="115" customFormat="1" ht="14"/>
    <row r="603" s="115" customFormat="1" ht="14"/>
    <row r="604" s="115" customFormat="1" ht="14"/>
    <row r="605" s="115" customFormat="1" ht="14"/>
    <row r="606" s="115" customFormat="1" ht="14"/>
    <row r="607" s="115" customFormat="1" ht="14"/>
    <row r="608" s="115" customFormat="1" ht="14"/>
    <row r="609" s="115" customFormat="1" ht="14"/>
    <row r="610" s="115" customFormat="1" ht="14"/>
    <row r="611" s="115" customFormat="1" ht="14"/>
    <row r="612" s="115" customFormat="1" ht="14"/>
    <row r="613" s="115" customFormat="1" ht="14"/>
    <row r="614" s="115" customFormat="1" ht="14"/>
    <row r="615" s="115" customFormat="1" ht="14"/>
    <row r="616" s="115" customFormat="1" ht="14"/>
    <row r="617" s="115" customFormat="1" ht="14"/>
    <row r="618" s="115" customFormat="1" ht="14"/>
    <row r="619" s="115" customFormat="1" ht="14"/>
    <row r="620" s="115" customFormat="1" ht="14"/>
    <row r="621" s="115" customFormat="1" ht="14"/>
    <row r="622" s="115" customFormat="1" ht="14"/>
    <row r="623" s="115" customFormat="1" ht="14"/>
    <row r="624" s="115" customFormat="1" ht="14"/>
    <row r="625" s="115" customFormat="1" ht="14"/>
    <row r="626" s="115" customFormat="1" ht="14"/>
    <row r="627" s="115" customFormat="1" ht="14"/>
    <row r="628" s="115" customFormat="1" ht="14"/>
    <row r="629" s="115" customFormat="1" ht="14"/>
    <row r="630" s="115" customFormat="1" ht="14"/>
    <row r="631" s="115" customFormat="1" ht="14"/>
    <row r="632" s="115" customFormat="1" ht="14"/>
    <row r="633" s="115" customFormat="1" ht="14"/>
    <row r="634" s="115" customFormat="1" ht="14"/>
    <row r="635" s="115" customFormat="1" ht="14"/>
    <row r="636" s="115" customFormat="1" ht="14"/>
    <row r="637" s="115" customFormat="1" ht="14"/>
    <row r="638" s="115" customFormat="1" ht="14"/>
    <row r="639" s="115" customFormat="1" ht="14"/>
    <row r="640" s="115" customFormat="1" ht="14"/>
    <row r="641" s="115" customFormat="1" ht="14"/>
    <row r="642" s="115" customFormat="1" ht="14"/>
    <row r="643" s="115" customFormat="1" ht="14"/>
    <row r="644" s="115" customFormat="1" ht="14"/>
    <row r="645" s="115" customFormat="1" ht="14"/>
    <row r="646" s="115" customFormat="1" ht="14"/>
    <row r="647" s="115" customFormat="1" ht="14"/>
    <row r="648" s="115" customFormat="1" ht="14"/>
    <row r="649" s="115" customFormat="1" ht="14"/>
    <row r="650" s="115" customFormat="1" ht="14"/>
    <row r="651" s="115" customFormat="1" ht="14"/>
    <row r="652" s="115" customFormat="1" ht="14"/>
    <row r="653" s="115" customFormat="1" ht="14"/>
    <row r="654" s="115" customFormat="1" ht="14"/>
    <row r="655" s="115" customFormat="1" ht="14"/>
    <row r="656" s="115" customFormat="1" ht="14"/>
    <row r="657" s="115" customFormat="1" ht="14"/>
    <row r="658" s="115" customFormat="1" ht="14"/>
    <row r="659" s="115" customFormat="1" ht="14"/>
    <row r="660" s="115" customFormat="1" ht="14"/>
    <row r="661" s="115" customFormat="1" ht="14"/>
    <row r="662" s="115" customFormat="1" ht="14"/>
    <row r="663" s="115" customFormat="1" ht="14"/>
    <row r="664" s="115" customFormat="1" ht="14"/>
    <row r="665" s="115" customFormat="1" ht="14"/>
    <row r="666" s="115" customFormat="1" ht="14"/>
    <row r="667" s="115" customFormat="1" ht="14"/>
    <row r="668" s="115" customFormat="1" ht="14"/>
    <row r="669" s="115" customFormat="1" ht="14"/>
    <row r="670" s="115" customFormat="1" ht="14"/>
    <row r="671" s="115" customFormat="1" ht="14"/>
    <row r="672" s="115" customFormat="1" ht="14"/>
    <row r="673" s="115" customFormat="1" ht="14"/>
    <row r="674" s="115" customFormat="1" ht="14"/>
    <row r="675" s="115" customFormat="1" ht="14"/>
    <row r="676" s="115" customFormat="1" ht="14"/>
    <row r="677" s="115" customFormat="1" ht="14"/>
    <row r="678" s="115" customFormat="1" ht="14"/>
    <row r="679" s="115" customFormat="1" ht="14"/>
    <row r="680" s="115" customFormat="1" ht="14"/>
    <row r="681" s="115" customFormat="1" ht="14"/>
    <row r="682" s="115" customFormat="1" ht="14"/>
    <row r="683" s="115" customFormat="1" ht="14"/>
    <row r="684" s="115" customFormat="1" ht="14"/>
    <row r="685" s="115" customFormat="1" ht="14"/>
    <row r="686" s="115" customFormat="1" ht="14"/>
    <row r="687" s="115" customFormat="1" ht="14"/>
    <row r="688" s="115" customFormat="1" ht="14"/>
    <row r="689" s="115" customFormat="1" ht="14"/>
    <row r="690" s="115" customFormat="1" ht="14"/>
    <row r="691" s="115" customFormat="1" ht="14"/>
    <row r="692" s="115" customFormat="1" ht="14"/>
    <row r="693" s="115" customFormat="1" ht="14"/>
    <row r="694" s="115" customFormat="1" ht="14"/>
    <row r="695" s="115" customFormat="1" ht="14"/>
    <row r="696" s="115" customFormat="1" ht="14"/>
    <row r="697" s="115" customFormat="1" ht="14"/>
    <row r="698" s="115" customFormat="1" ht="14"/>
    <row r="699" s="115" customFormat="1" ht="14"/>
    <row r="700" s="115" customFormat="1" ht="14"/>
    <row r="701" s="115" customFormat="1" ht="14"/>
    <row r="702" s="115" customFormat="1" ht="14"/>
    <row r="703" s="115" customFormat="1" ht="14"/>
    <row r="704" s="115" customFormat="1" ht="14"/>
    <row r="705" s="115" customFormat="1" ht="14"/>
    <row r="706" s="115" customFormat="1" ht="14"/>
    <row r="707" s="115" customFormat="1" ht="14"/>
    <row r="708" s="115" customFormat="1" ht="14"/>
    <row r="709" s="115" customFormat="1" ht="14"/>
    <row r="710" s="115" customFormat="1" ht="14"/>
    <row r="711" s="115" customFormat="1" ht="14"/>
    <row r="712" s="115" customFormat="1" ht="14"/>
    <row r="713" s="115" customFormat="1" ht="14"/>
    <row r="714" s="115" customFormat="1" ht="14"/>
    <row r="715" s="115" customFormat="1" ht="14"/>
    <row r="716" s="115" customFormat="1" ht="14"/>
    <row r="717" s="115" customFormat="1" ht="14"/>
    <row r="718" s="115" customFormat="1" ht="14"/>
    <row r="719" s="115" customFormat="1" ht="14"/>
    <row r="720" s="115" customFormat="1" ht="14"/>
    <row r="721" s="115" customFormat="1" ht="14"/>
    <row r="722" s="115" customFormat="1" ht="14"/>
    <row r="723" s="115" customFormat="1" ht="14"/>
    <row r="724" s="115" customFormat="1" ht="14"/>
    <row r="725" s="115" customFormat="1" ht="14"/>
    <row r="726" s="115" customFormat="1" ht="14"/>
    <row r="727" s="115" customFormat="1" ht="14"/>
    <row r="728" s="115" customFormat="1" ht="14"/>
    <row r="729" s="115" customFormat="1" ht="14"/>
    <row r="730" s="115" customFormat="1" ht="14"/>
    <row r="731" s="115" customFormat="1" ht="14"/>
    <row r="732" s="115" customFormat="1" ht="14"/>
    <row r="733" s="115" customFormat="1" ht="14"/>
    <row r="734" s="115" customFormat="1" ht="14"/>
    <row r="735" s="115" customFormat="1" ht="14"/>
    <row r="736" s="115" customFormat="1" ht="14"/>
    <row r="737" s="115" customFormat="1" ht="14"/>
    <row r="738" s="115" customFormat="1" ht="14"/>
    <row r="739" s="115" customFormat="1" ht="14"/>
    <row r="740" s="115" customFormat="1" ht="14"/>
    <row r="741" s="115" customFormat="1" ht="14"/>
    <row r="742" s="115" customFormat="1" ht="14"/>
    <row r="743" s="115" customFormat="1" ht="14"/>
    <row r="744" s="115" customFormat="1" ht="14"/>
    <row r="745" s="115" customFormat="1" ht="14"/>
    <row r="746" s="115" customFormat="1" ht="14"/>
    <row r="747" s="115" customFormat="1" ht="14"/>
    <row r="748" s="115" customFormat="1" ht="14"/>
    <row r="749" s="115" customFormat="1" ht="14"/>
    <row r="750" s="115" customFormat="1" ht="14"/>
    <row r="751" s="115" customFormat="1" ht="14"/>
    <row r="752" s="115" customFormat="1" ht="14"/>
    <row r="753" s="115" customFormat="1" ht="14"/>
    <row r="754" s="115" customFormat="1" ht="14"/>
    <row r="755" s="115" customFormat="1" ht="14"/>
    <row r="756" s="115" customFormat="1" ht="14"/>
    <row r="757" s="115" customFormat="1" ht="14"/>
    <row r="758" s="115" customFormat="1" ht="14"/>
    <row r="759" s="115" customFormat="1" ht="14"/>
    <row r="760" s="115" customFormat="1" ht="14"/>
    <row r="761" s="115" customFormat="1" ht="14"/>
    <row r="762" s="115" customFormat="1" ht="14"/>
    <row r="763" s="115" customFormat="1" ht="14"/>
    <row r="764" s="115" customFormat="1" ht="14"/>
    <row r="765" s="115" customFormat="1" ht="14"/>
    <row r="766" s="115" customFormat="1" ht="14"/>
    <row r="767" s="115" customFormat="1" ht="14"/>
    <row r="768" s="115" customFormat="1" ht="14"/>
    <row r="769" s="115" customFormat="1" ht="14"/>
    <row r="770" s="115" customFormat="1" ht="14"/>
    <row r="771" s="115" customFormat="1" ht="14"/>
    <row r="772" s="115" customFormat="1" ht="14"/>
    <row r="773" s="115" customFormat="1" ht="14"/>
    <row r="774" s="115" customFormat="1" ht="14"/>
    <row r="775" s="115" customFormat="1" ht="14"/>
    <row r="776" s="115" customFormat="1" ht="14"/>
    <row r="777" s="115" customFormat="1" ht="14"/>
    <row r="778" s="115" customFormat="1" ht="14"/>
    <row r="779" s="115" customFormat="1" ht="14"/>
    <row r="780" s="115" customFormat="1" ht="14"/>
    <row r="781" s="115" customFormat="1" ht="14"/>
    <row r="782" s="115" customFormat="1" ht="14"/>
    <row r="783" s="115" customFormat="1" ht="14"/>
    <row r="784" s="115" customFormat="1" ht="14"/>
    <row r="785" s="115" customFormat="1" ht="14"/>
    <row r="786" s="115" customFormat="1" ht="14"/>
    <row r="787" s="115" customFormat="1" ht="14"/>
    <row r="788" s="115" customFormat="1" ht="14"/>
    <row r="789" s="115" customFormat="1" ht="14"/>
    <row r="790" s="115" customFormat="1" ht="14"/>
    <row r="791" s="115" customFormat="1" ht="14"/>
    <row r="792" s="115" customFormat="1" ht="14"/>
    <row r="793" s="115" customFormat="1" ht="14"/>
    <row r="794" s="115" customFormat="1" ht="14"/>
    <row r="795" s="115" customFormat="1" ht="14"/>
    <row r="796" s="115" customFormat="1" ht="14"/>
    <row r="797" s="115" customFormat="1" ht="14"/>
    <row r="798" s="115" customFormat="1" ht="14"/>
    <row r="799" s="115" customFormat="1" ht="14"/>
    <row r="800" s="115" customFormat="1" ht="14"/>
    <row r="801" s="115" customFormat="1" ht="14"/>
    <row r="802" s="115" customFormat="1" ht="14"/>
    <row r="803" s="115" customFormat="1" ht="14"/>
    <row r="804" s="115" customFormat="1" ht="14"/>
    <row r="805" s="115" customFormat="1" ht="14"/>
    <row r="806" s="115" customFormat="1" ht="14"/>
    <row r="807" s="115" customFormat="1" ht="14"/>
    <row r="808" s="115" customFormat="1" ht="14"/>
    <row r="809" s="115" customFormat="1" ht="14"/>
    <row r="810" s="115" customFormat="1" ht="14"/>
    <row r="811" s="115" customFormat="1" ht="14"/>
    <row r="812" s="115" customFormat="1" ht="14"/>
    <row r="813" s="115" customFormat="1" ht="14"/>
    <row r="814" s="115" customFormat="1" ht="14"/>
    <row r="815" s="115" customFormat="1" ht="14"/>
    <row r="816" s="115" customFormat="1" ht="14"/>
    <row r="817" s="115" customFormat="1" ht="14"/>
    <row r="818" s="115" customFormat="1" ht="14"/>
    <row r="819" s="115" customFormat="1" ht="14"/>
    <row r="820" s="115" customFormat="1" ht="14"/>
    <row r="821" s="115" customFormat="1" ht="14"/>
    <row r="822" s="115" customFormat="1" ht="14"/>
    <row r="823" s="115" customFormat="1" ht="14"/>
    <row r="824" s="115" customFormat="1" ht="14"/>
    <row r="825" s="115" customFormat="1" ht="14"/>
    <row r="826" s="115" customFormat="1" ht="14"/>
    <row r="827" s="115" customFormat="1" ht="14"/>
    <row r="828" s="115" customFormat="1" ht="14"/>
    <row r="829" s="115" customFormat="1" ht="14"/>
    <row r="830" s="115" customFormat="1" ht="14"/>
    <row r="831" s="115" customFormat="1" ht="14"/>
    <row r="832" s="115" customFormat="1" ht="14"/>
    <row r="833" s="115" customFormat="1" ht="14"/>
    <row r="834" s="115" customFormat="1" ht="14"/>
    <row r="835" s="115" customFormat="1" ht="14"/>
    <row r="836" s="115" customFormat="1" ht="14"/>
    <row r="837" s="115" customFormat="1" ht="14"/>
    <row r="838" s="115" customFormat="1" ht="14"/>
    <row r="839" s="115" customFormat="1" ht="14"/>
    <row r="840" s="115" customFormat="1" ht="14"/>
    <row r="841" s="115" customFormat="1" ht="14"/>
    <row r="842" s="115" customFormat="1" ht="14"/>
    <row r="843" s="115" customFormat="1" ht="14"/>
    <row r="844" s="115" customFormat="1" ht="14"/>
    <row r="845" s="115" customFormat="1" ht="14"/>
    <row r="846" s="115" customFormat="1" ht="14"/>
    <row r="847" s="115" customFormat="1" ht="14"/>
    <row r="848" s="115" customFormat="1" ht="14"/>
    <row r="849" s="115" customFormat="1" ht="14"/>
    <row r="850" s="115" customFormat="1" ht="14"/>
    <row r="851" s="115" customFormat="1" ht="14"/>
    <row r="852" s="115" customFormat="1" ht="14"/>
    <row r="853" s="115" customFormat="1" ht="14"/>
    <row r="854" s="115" customFormat="1" ht="14"/>
    <row r="855" s="115" customFormat="1" ht="14"/>
    <row r="856" s="115" customFormat="1" ht="14"/>
    <row r="857" s="115" customFormat="1" ht="14"/>
    <row r="858" s="115" customFormat="1" ht="14"/>
    <row r="859" s="115" customFormat="1" ht="14"/>
    <row r="860" s="115" customFormat="1" ht="14"/>
    <row r="861" s="115" customFormat="1" ht="14"/>
    <row r="862" s="115" customFormat="1" ht="14"/>
    <row r="863" s="115" customFormat="1" ht="14"/>
    <row r="864" s="115" customFormat="1" ht="14"/>
    <row r="865" s="115" customFormat="1" ht="14"/>
    <row r="866" s="115" customFormat="1" ht="14"/>
    <row r="867" s="115" customFormat="1" ht="14"/>
    <row r="868" s="115" customFormat="1" ht="14"/>
    <row r="869" s="115" customFormat="1" ht="14"/>
    <row r="870" s="115" customFormat="1" ht="14"/>
    <row r="871" s="115" customFormat="1" ht="14"/>
    <row r="872" s="115" customFormat="1" ht="14"/>
    <row r="873" s="115" customFormat="1" ht="14"/>
    <row r="874" s="115" customFormat="1" ht="14"/>
    <row r="875" s="115" customFormat="1" ht="14"/>
    <row r="876" s="115" customFormat="1" ht="14"/>
    <row r="877" s="115" customFormat="1" ht="14"/>
    <row r="878" s="115" customFormat="1" ht="14"/>
    <row r="879" s="115" customFormat="1" ht="14"/>
    <row r="880" s="115" customFormat="1" ht="14"/>
    <row r="881" s="115" customFormat="1" ht="14"/>
    <row r="882" s="115" customFormat="1" ht="14"/>
    <row r="883" s="115" customFormat="1" ht="14"/>
    <row r="884" s="115" customFormat="1" ht="14"/>
    <row r="885" s="115" customFormat="1" ht="14"/>
    <row r="886" s="115" customFormat="1" ht="14"/>
    <row r="887" s="115" customFormat="1" ht="14"/>
    <row r="888" s="115" customFormat="1" ht="14"/>
    <row r="889" s="115" customFormat="1" ht="14"/>
    <row r="890" s="115" customFormat="1" ht="14"/>
    <row r="891" s="115" customFormat="1" ht="14"/>
    <row r="892" s="115" customFormat="1" ht="14"/>
    <row r="893" s="115" customFormat="1" ht="14"/>
    <row r="894" s="115" customFormat="1" ht="14"/>
    <row r="895" s="115" customFormat="1" ht="14"/>
    <row r="896" s="115" customFormat="1" ht="14"/>
    <row r="897" s="115" customFormat="1" ht="14"/>
    <row r="898" s="115" customFormat="1" ht="14"/>
    <row r="899" s="115" customFormat="1" ht="14"/>
    <row r="900" s="115" customFormat="1" ht="14"/>
    <row r="901" s="115" customFormat="1" ht="14"/>
    <row r="902" s="115" customFormat="1" ht="14"/>
    <row r="903" s="115" customFormat="1" ht="14"/>
    <row r="904" s="115" customFormat="1" ht="14"/>
    <row r="905" s="115" customFormat="1" ht="14"/>
    <row r="906" s="115" customFormat="1" ht="14"/>
    <row r="907" s="115" customFormat="1" ht="14"/>
    <row r="908" s="115" customFormat="1" ht="14"/>
    <row r="909" s="115" customFormat="1" ht="14"/>
    <row r="910" s="115" customFormat="1" ht="14"/>
    <row r="911" s="115" customFormat="1" ht="14"/>
    <row r="912" s="115" customFormat="1" ht="14"/>
    <row r="913" s="115" customFormat="1" ht="14"/>
    <row r="914" s="115" customFormat="1" ht="14"/>
    <row r="915" s="115" customFormat="1" ht="14"/>
    <row r="916" s="115" customFormat="1" ht="14"/>
    <row r="917" s="115" customFormat="1" ht="14"/>
    <row r="918" s="115" customFormat="1" ht="14"/>
    <row r="919" s="115" customFormat="1" ht="14"/>
    <row r="920" s="115" customFormat="1" ht="14"/>
    <row r="921" s="115" customFormat="1" ht="14"/>
    <row r="922" s="115" customFormat="1" ht="14"/>
    <row r="923" s="115" customFormat="1" ht="14"/>
    <row r="924" s="115" customFormat="1" ht="14"/>
    <row r="925" s="115" customFormat="1" ht="14"/>
    <row r="926" s="115" customFormat="1" ht="14"/>
    <row r="927" s="115" customFormat="1" ht="14"/>
    <row r="928" s="115" customFormat="1" ht="14"/>
    <row r="929" s="115" customFormat="1" ht="14"/>
    <row r="930" s="115" customFormat="1" ht="14"/>
    <row r="931" s="115" customFormat="1" ht="14"/>
    <row r="932" s="115" customFormat="1" ht="14"/>
    <row r="933" s="115" customFormat="1" ht="14"/>
    <row r="934" s="115" customFormat="1" ht="14"/>
    <row r="935" s="115" customFormat="1" ht="14"/>
    <row r="936" s="115" customFormat="1" ht="14"/>
    <row r="937" s="115" customFormat="1" ht="14"/>
    <row r="938" s="115" customFormat="1" ht="14"/>
    <row r="939" s="115" customFormat="1" ht="14"/>
    <row r="940" s="115" customFormat="1" ht="14"/>
    <row r="941" s="115" customFormat="1" ht="14"/>
    <row r="942" s="115" customFormat="1" ht="14"/>
    <row r="943" s="115" customFormat="1" ht="14"/>
    <row r="944" s="115" customFormat="1" ht="14"/>
    <row r="945" s="115" customFormat="1" ht="14"/>
    <row r="946" s="115" customFormat="1" ht="14"/>
    <row r="947" s="115" customFormat="1" ht="14"/>
    <row r="948" s="115" customFormat="1" ht="14"/>
    <row r="949" s="115" customFormat="1" ht="14"/>
    <row r="950" s="115" customFormat="1" ht="14"/>
    <row r="951" s="115" customFormat="1" ht="14"/>
    <row r="952" s="115" customFormat="1" ht="14"/>
    <row r="953" s="115" customFormat="1" ht="14"/>
    <row r="954" s="115" customFormat="1" ht="14"/>
    <row r="955" s="115" customFormat="1" ht="14"/>
    <row r="956" s="115" customFormat="1" ht="14"/>
    <row r="957" s="115" customFormat="1" ht="14"/>
    <row r="958" s="115" customFormat="1" ht="14"/>
    <row r="959" s="115" customFormat="1" ht="14"/>
    <row r="960" s="115" customFormat="1" ht="14"/>
    <row r="961" s="115" customFormat="1" ht="14"/>
    <row r="962" s="115" customFormat="1" ht="14"/>
    <row r="963" s="115" customFormat="1" ht="14"/>
    <row r="964" s="115" customFormat="1" ht="14"/>
    <row r="965" s="115" customFormat="1" ht="14"/>
    <row r="966" s="115" customFormat="1" ht="14"/>
    <row r="967" s="115" customFormat="1" ht="14"/>
    <row r="968" s="115" customFormat="1" ht="14"/>
    <row r="969" s="115" customFormat="1" ht="14"/>
    <row r="970" s="115" customFormat="1" ht="14"/>
    <row r="971" s="115" customFormat="1" ht="14"/>
    <row r="972" s="115" customFormat="1" ht="14"/>
    <row r="973" s="115" customFormat="1" ht="14"/>
    <row r="974" s="115" customFormat="1" ht="14"/>
    <row r="975" s="115" customFormat="1" ht="14"/>
    <row r="976" s="115" customFormat="1" ht="14"/>
    <row r="977" s="115" customFormat="1" ht="14"/>
    <row r="978" s="115" customFormat="1" ht="14"/>
    <row r="979" s="115" customFormat="1" ht="14"/>
    <row r="980" s="115" customFormat="1" ht="14"/>
    <row r="981" s="115" customFormat="1" ht="14"/>
    <row r="982" s="115" customFormat="1" ht="14"/>
    <row r="983" s="115" customFormat="1" ht="14"/>
    <row r="984" s="115" customFormat="1" ht="14"/>
    <row r="985" s="115" customFormat="1" ht="14"/>
    <row r="986" s="115" customFormat="1" ht="14"/>
    <row r="987" s="115" customFormat="1" ht="14"/>
    <row r="988" s="115" customFormat="1" ht="14"/>
    <row r="989" s="115" customFormat="1" ht="14"/>
    <row r="990" s="115" customFormat="1" ht="14"/>
    <row r="991" s="115" customFormat="1" ht="14"/>
    <row r="992" s="115" customFormat="1" ht="14"/>
    <row r="993" s="115" customFormat="1" ht="14"/>
    <row r="994" s="115" customFormat="1" ht="14"/>
    <row r="995" s="115" customFormat="1" ht="14"/>
    <row r="996" s="115" customFormat="1" ht="14"/>
    <row r="997" s="115" customFormat="1" ht="14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E908D-F28C-4ACF-B15B-1D96BB3164DA}">
  <sheetPr>
    <tabColor theme="4" tint="-0.249977111117893"/>
  </sheetPr>
  <dimension ref="A1:AI997"/>
  <sheetViews>
    <sheetView showGridLines="0" workbookViewId="0">
      <pane xSplit="2" topLeftCell="C1" activePane="topRight" state="frozen"/>
      <selection pane="topRight" activeCell="L20" sqref="L20"/>
    </sheetView>
  </sheetViews>
  <sheetFormatPr baseColWidth="10" defaultColWidth="12.5" defaultRowHeight="15.75" customHeight="1"/>
  <cols>
    <col min="1" max="1" width="28.1640625" style="115" customWidth="1"/>
    <col min="2" max="2" width="11.83203125" style="115" customWidth="1"/>
    <col min="3" max="3" width="17" style="115" customWidth="1"/>
    <col min="4" max="4" width="10.5" style="115" customWidth="1"/>
    <col min="5" max="5" width="8.5" style="115" customWidth="1"/>
    <col min="6" max="6" width="7.5" style="115" customWidth="1"/>
    <col min="7" max="7" width="9.5" style="115" customWidth="1"/>
    <col min="8" max="8" width="9" style="115" customWidth="1"/>
    <col min="9" max="9" width="6.83203125" style="115" customWidth="1"/>
    <col min="10" max="11" width="6.5" style="115" customWidth="1"/>
    <col min="12" max="12" width="7" style="115" customWidth="1"/>
    <col min="13" max="13" width="7.6640625" style="115" customWidth="1"/>
    <col min="14" max="14" width="7.1640625" style="115" customWidth="1"/>
    <col min="15" max="15" width="7" style="115" customWidth="1"/>
    <col min="16" max="16" width="7.33203125" style="115" customWidth="1"/>
    <col min="17" max="18" width="6.5" style="115" customWidth="1"/>
    <col min="19" max="19" width="7.33203125" style="115" customWidth="1"/>
    <col min="20" max="20" width="7.5" style="115" customWidth="1"/>
    <col min="21" max="21" width="6.6640625" style="115" customWidth="1"/>
    <col min="22" max="22" width="7.1640625" style="115" customWidth="1"/>
    <col min="23" max="23" width="7.5" style="115" customWidth="1"/>
    <col min="24" max="24" width="9.33203125" style="115" customWidth="1"/>
    <col min="25" max="25" width="9.5" style="115" customWidth="1"/>
    <col min="26" max="26" width="9.33203125" style="115" customWidth="1"/>
    <col min="27" max="27" width="8.6640625" style="115" customWidth="1"/>
    <col min="28" max="28" width="15.33203125" style="115" customWidth="1"/>
    <col min="29" max="29" width="14" style="115" customWidth="1"/>
    <col min="30" max="30" width="7.5" style="115" customWidth="1"/>
    <col min="31" max="31" width="17.6640625" style="115" customWidth="1"/>
    <col min="32" max="35" width="7.5" style="115" customWidth="1"/>
    <col min="36" max="16384" width="12.5" style="115"/>
  </cols>
  <sheetData>
    <row r="1" spans="1:35" ht="15.75" customHeight="1">
      <c r="A1" s="107"/>
      <c r="B1" s="108"/>
      <c r="C1" s="109">
        <v>45839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54" t="s">
        <v>1</v>
      </c>
      <c r="B3" s="254" t="s">
        <v>2</v>
      </c>
      <c r="C3" s="254" t="s">
        <v>3</v>
      </c>
      <c r="D3" s="254" t="s">
        <v>4</v>
      </c>
      <c r="E3" s="259" t="s">
        <v>5</v>
      </c>
      <c r="F3" s="255"/>
      <c r="G3" s="255"/>
      <c r="H3" s="255"/>
      <c r="I3" s="141">
        <f>C1</f>
        <v>45839</v>
      </c>
      <c r="J3" s="141">
        <f t="shared" ref="J3:W3" si="0">I3+1</f>
        <v>45840</v>
      </c>
      <c r="K3" s="141">
        <f t="shared" si="0"/>
        <v>45841</v>
      </c>
      <c r="L3" s="141">
        <f t="shared" si="0"/>
        <v>45842</v>
      </c>
      <c r="M3" s="141">
        <f t="shared" si="0"/>
        <v>45843</v>
      </c>
      <c r="N3" s="141">
        <f t="shared" si="0"/>
        <v>45844</v>
      </c>
      <c r="O3" s="141">
        <f t="shared" si="0"/>
        <v>45845</v>
      </c>
      <c r="P3" s="141">
        <f t="shared" si="0"/>
        <v>45846</v>
      </c>
      <c r="Q3" s="141">
        <f t="shared" si="0"/>
        <v>45847</v>
      </c>
      <c r="R3" s="141">
        <f t="shared" si="0"/>
        <v>45848</v>
      </c>
      <c r="S3" s="141">
        <f t="shared" si="0"/>
        <v>45849</v>
      </c>
      <c r="T3" s="141">
        <f t="shared" si="0"/>
        <v>45850</v>
      </c>
      <c r="U3" s="141">
        <f t="shared" si="0"/>
        <v>45851</v>
      </c>
      <c r="V3" s="141">
        <f t="shared" si="0"/>
        <v>45852</v>
      </c>
      <c r="W3" s="141">
        <f t="shared" si="0"/>
        <v>45853</v>
      </c>
      <c r="X3" s="254" t="s">
        <v>6</v>
      </c>
      <c r="Y3" s="254" t="s">
        <v>7</v>
      </c>
      <c r="Z3" s="209"/>
      <c r="AA3" s="114"/>
      <c r="AB3" s="114"/>
    </row>
    <row r="4" spans="1:35" ht="27" customHeight="1">
      <c r="A4" s="255"/>
      <c r="B4" s="255"/>
      <c r="C4" s="255"/>
      <c r="D4" s="255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Tue</v>
      </c>
      <c r="J4" s="127" t="str">
        <f t="shared" si="1"/>
        <v>Wed</v>
      </c>
      <c r="K4" s="127" t="str">
        <f t="shared" si="1"/>
        <v>Thu</v>
      </c>
      <c r="L4" s="222" t="str">
        <f t="shared" si="1"/>
        <v>Fri</v>
      </c>
      <c r="M4" s="222" t="str">
        <f t="shared" si="1"/>
        <v>Sat</v>
      </c>
      <c r="N4" s="221" t="str">
        <f t="shared" si="1"/>
        <v>Sun</v>
      </c>
      <c r="O4" s="221" t="str">
        <f t="shared" si="1"/>
        <v>Mon</v>
      </c>
      <c r="P4" s="222" t="str">
        <f t="shared" si="1"/>
        <v>Tue</v>
      </c>
      <c r="Q4" s="222" t="str">
        <f t="shared" si="1"/>
        <v>Wed</v>
      </c>
      <c r="R4" s="222" t="str">
        <f t="shared" si="1"/>
        <v>Thu</v>
      </c>
      <c r="S4" s="222" t="str">
        <f t="shared" si="1"/>
        <v>Fri</v>
      </c>
      <c r="T4" s="222" t="str">
        <f t="shared" si="1"/>
        <v>Sat</v>
      </c>
      <c r="U4" s="222" t="str">
        <f t="shared" si="1"/>
        <v>Sun</v>
      </c>
      <c r="V4" s="222" t="str">
        <f t="shared" si="1"/>
        <v>Mon</v>
      </c>
      <c r="W4" s="222" t="str">
        <f t="shared" si="1"/>
        <v>Tue</v>
      </c>
      <c r="X4" s="255"/>
      <c r="Y4" s="255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88</v>
      </c>
      <c r="E5" s="134">
        <f t="shared" ref="E5:E10" si="3">Y5*8</f>
        <v>88</v>
      </c>
      <c r="F5" s="134">
        <f t="shared" ref="F5:F10" si="4">G5+H5</f>
        <v>88</v>
      </c>
      <c r="G5" s="134">
        <f t="shared" ref="G5:G10" si="5">SUM(I5:W5)</f>
        <v>88</v>
      </c>
      <c r="H5" s="135">
        <v>0</v>
      </c>
      <c r="I5" s="180">
        <v>8</v>
      </c>
      <c r="J5" s="180">
        <v>8</v>
      </c>
      <c r="K5" s="180">
        <v>8</v>
      </c>
      <c r="L5" s="180">
        <v>8</v>
      </c>
      <c r="M5" s="199"/>
      <c r="N5" s="199"/>
      <c r="O5" s="180">
        <v>8</v>
      </c>
      <c r="P5" s="180">
        <v>8</v>
      </c>
      <c r="Q5" s="180">
        <v>8</v>
      </c>
      <c r="R5" s="180">
        <v>8</v>
      </c>
      <c r="S5" s="180">
        <v>8</v>
      </c>
      <c r="T5" s="199"/>
      <c r="U5" s="199"/>
      <c r="V5" s="180">
        <v>8</v>
      </c>
      <c r="W5" s="180">
        <v>8</v>
      </c>
      <c r="X5" s="134">
        <f>Y5-COUNTA(I5:W5)</f>
        <v>0</v>
      </c>
      <c r="Y5" s="136">
        <v>11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88</v>
      </c>
      <c r="E6" s="134">
        <f t="shared" si="3"/>
        <v>88</v>
      </c>
      <c r="F6" s="134">
        <f t="shared" si="4"/>
        <v>88</v>
      </c>
      <c r="G6" s="134">
        <f t="shared" si="5"/>
        <v>88</v>
      </c>
      <c r="H6" s="135">
        <v>0</v>
      </c>
      <c r="I6" s="180">
        <v>8</v>
      </c>
      <c r="J6" s="180">
        <v>8</v>
      </c>
      <c r="K6" s="180">
        <v>8</v>
      </c>
      <c r="L6" s="180">
        <v>8</v>
      </c>
      <c r="M6" s="199"/>
      <c r="N6" s="199"/>
      <c r="O6" s="180">
        <v>8</v>
      </c>
      <c r="P6" s="180">
        <v>8</v>
      </c>
      <c r="Q6" s="180">
        <v>8</v>
      </c>
      <c r="R6" s="180">
        <v>8</v>
      </c>
      <c r="S6" s="180">
        <v>8</v>
      </c>
      <c r="T6" s="199"/>
      <c r="U6" s="199"/>
      <c r="V6" s="180">
        <v>8</v>
      </c>
      <c r="W6" s="180">
        <v>8</v>
      </c>
      <c r="X6" s="134">
        <f t="shared" ref="X6:X14" si="6">Y6-COUNTA(I6:W6)</f>
        <v>0</v>
      </c>
      <c r="Y6" s="136">
        <v>11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88</v>
      </c>
      <c r="E7" s="134">
        <f t="shared" si="3"/>
        <v>88</v>
      </c>
      <c r="F7" s="134">
        <f t="shared" si="4"/>
        <v>88</v>
      </c>
      <c r="G7" s="134">
        <f t="shared" si="5"/>
        <v>88</v>
      </c>
      <c r="H7" s="135">
        <v>0</v>
      </c>
      <c r="I7" s="180">
        <v>8</v>
      </c>
      <c r="J7" s="180">
        <v>8</v>
      </c>
      <c r="K7" s="180">
        <v>8</v>
      </c>
      <c r="L7" s="180">
        <v>8</v>
      </c>
      <c r="M7" s="199"/>
      <c r="N7" s="199"/>
      <c r="O7" s="180">
        <v>8</v>
      </c>
      <c r="P7" s="180">
        <v>8</v>
      </c>
      <c r="Q7" s="180">
        <v>8</v>
      </c>
      <c r="R7" s="180">
        <v>8</v>
      </c>
      <c r="S7" s="180">
        <v>8</v>
      </c>
      <c r="T7" s="199"/>
      <c r="U7" s="199"/>
      <c r="V7" s="180">
        <v>8</v>
      </c>
      <c r="W7" s="180">
        <v>8</v>
      </c>
      <c r="X7" s="134">
        <f t="shared" si="6"/>
        <v>0</v>
      </c>
      <c r="Y7" s="136">
        <v>11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88</v>
      </c>
      <c r="E8" s="134">
        <f t="shared" si="3"/>
        <v>88</v>
      </c>
      <c r="F8" s="134">
        <f t="shared" si="4"/>
        <v>88</v>
      </c>
      <c r="G8" s="134">
        <f t="shared" si="5"/>
        <v>88</v>
      </c>
      <c r="H8" s="135">
        <v>0</v>
      </c>
      <c r="I8" s="180">
        <v>8</v>
      </c>
      <c r="J8" s="180">
        <v>8</v>
      </c>
      <c r="K8" s="180">
        <v>8</v>
      </c>
      <c r="L8" s="180">
        <v>8</v>
      </c>
      <c r="M8" s="199"/>
      <c r="N8" s="199"/>
      <c r="O8" s="180">
        <v>8</v>
      </c>
      <c r="P8" s="180">
        <v>8</v>
      </c>
      <c r="Q8" s="180">
        <v>8</v>
      </c>
      <c r="R8" s="180">
        <v>8</v>
      </c>
      <c r="S8" s="180">
        <v>8</v>
      </c>
      <c r="T8" s="199"/>
      <c r="U8" s="199"/>
      <c r="V8" s="180">
        <v>8</v>
      </c>
      <c r="W8" s="180">
        <v>8</v>
      </c>
      <c r="X8" s="134">
        <f t="shared" si="6"/>
        <v>0</v>
      </c>
      <c r="Y8" s="136">
        <v>11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88</v>
      </c>
      <c r="E9" s="134">
        <f t="shared" si="3"/>
        <v>88</v>
      </c>
      <c r="F9" s="134">
        <f t="shared" si="4"/>
        <v>88</v>
      </c>
      <c r="G9" s="134">
        <f t="shared" si="5"/>
        <v>88</v>
      </c>
      <c r="H9" s="135">
        <v>0</v>
      </c>
      <c r="I9" s="180">
        <v>8</v>
      </c>
      <c r="J9" s="180">
        <v>8</v>
      </c>
      <c r="K9" s="180">
        <v>8</v>
      </c>
      <c r="L9" s="180">
        <v>8</v>
      </c>
      <c r="M9" s="199"/>
      <c r="N9" s="199"/>
      <c r="O9" s="180">
        <v>8</v>
      </c>
      <c r="P9" s="180">
        <v>8</v>
      </c>
      <c r="Q9" s="180">
        <v>8</v>
      </c>
      <c r="R9" s="180">
        <v>8</v>
      </c>
      <c r="S9" s="180">
        <v>8</v>
      </c>
      <c r="T9" s="199"/>
      <c r="U9" s="199"/>
      <c r="V9" s="180">
        <v>8</v>
      </c>
      <c r="W9" s="180">
        <v>8</v>
      </c>
      <c r="X9" s="134">
        <f t="shared" si="6"/>
        <v>0</v>
      </c>
      <c r="Y9" s="136">
        <v>11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88</v>
      </c>
      <c r="E10" s="134">
        <f t="shared" si="3"/>
        <v>88</v>
      </c>
      <c r="F10" s="134">
        <f t="shared" si="4"/>
        <v>88</v>
      </c>
      <c r="G10" s="134">
        <f t="shared" si="5"/>
        <v>88</v>
      </c>
      <c r="H10" s="135">
        <v>0</v>
      </c>
      <c r="I10" s="180">
        <v>8</v>
      </c>
      <c r="J10" s="180">
        <v>8</v>
      </c>
      <c r="K10" s="180">
        <v>8</v>
      </c>
      <c r="L10" s="180">
        <v>8</v>
      </c>
      <c r="M10" s="199"/>
      <c r="N10" s="199"/>
      <c r="O10" s="180">
        <v>8</v>
      </c>
      <c r="P10" s="180">
        <v>8</v>
      </c>
      <c r="Q10" s="180">
        <v>8</v>
      </c>
      <c r="R10" s="180">
        <v>8</v>
      </c>
      <c r="S10" s="180">
        <v>8</v>
      </c>
      <c r="T10" s="199"/>
      <c r="U10" s="199"/>
      <c r="V10" s="180">
        <v>8</v>
      </c>
      <c r="W10" s="180">
        <v>8</v>
      </c>
      <c r="X10" s="134">
        <f t="shared" si="6"/>
        <v>0</v>
      </c>
      <c r="Y10" s="136">
        <v>11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528</v>
      </c>
      <c r="E15" s="224">
        <f t="shared" si="8"/>
        <v>528</v>
      </c>
      <c r="F15" s="224">
        <f t="shared" si="8"/>
        <v>528</v>
      </c>
      <c r="G15" s="224">
        <f t="shared" si="8"/>
        <v>528</v>
      </c>
      <c r="H15" s="224">
        <f t="shared" si="8"/>
        <v>0</v>
      </c>
      <c r="I15" s="224">
        <f t="shared" si="8"/>
        <v>48</v>
      </c>
      <c r="J15" s="224">
        <f t="shared" si="8"/>
        <v>48</v>
      </c>
      <c r="K15" s="224">
        <f t="shared" si="8"/>
        <v>48</v>
      </c>
      <c r="L15" s="224">
        <f t="shared" si="8"/>
        <v>48</v>
      </c>
      <c r="M15" s="224">
        <f t="shared" si="8"/>
        <v>0</v>
      </c>
      <c r="N15" s="224">
        <f t="shared" si="8"/>
        <v>0</v>
      </c>
      <c r="O15" s="224">
        <f t="shared" si="8"/>
        <v>48</v>
      </c>
      <c r="P15" s="224">
        <f t="shared" si="8"/>
        <v>48</v>
      </c>
      <c r="Q15" s="224">
        <f t="shared" si="8"/>
        <v>48</v>
      </c>
      <c r="R15" s="224">
        <f t="shared" si="8"/>
        <v>48</v>
      </c>
      <c r="S15" s="224">
        <f t="shared" si="8"/>
        <v>48</v>
      </c>
      <c r="T15" s="224">
        <f t="shared" si="8"/>
        <v>0</v>
      </c>
      <c r="U15" s="224">
        <f t="shared" si="8"/>
        <v>0</v>
      </c>
      <c r="V15" s="224">
        <f t="shared" si="8"/>
        <v>48</v>
      </c>
      <c r="W15" s="224">
        <f t="shared" si="8"/>
        <v>48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54" t="s">
        <v>1</v>
      </c>
      <c r="B18" s="254" t="s">
        <v>2</v>
      </c>
      <c r="C18" s="254" t="s">
        <v>3</v>
      </c>
      <c r="D18" s="254" t="s">
        <v>4</v>
      </c>
      <c r="E18" s="259" t="s">
        <v>5</v>
      </c>
      <c r="F18" s="255"/>
      <c r="G18" s="255"/>
      <c r="H18" s="255"/>
      <c r="I18" s="141">
        <f>W3+1</f>
        <v>45854</v>
      </c>
      <c r="J18" s="141">
        <f t="shared" ref="J18:X18" si="9">I18+1</f>
        <v>45855</v>
      </c>
      <c r="K18" s="141">
        <f t="shared" si="9"/>
        <v>45856</v>
      </c>
      <c r="L18" s="141">
        <f t="shared" si="9"/>
        <v>45857</v>
      </c>
      <c r="M18" s="141">
        <f t="shared" si="9"/>
        <v>45858</v>
      </c>
      <c r="N18" s="141">
        <f t="shared" si="9"/>
        <v>45859</v>
      </c>
      <c r="O18" s="141">
        <f t="shared" si="9"/>
        <v>45860</v>
      </c>
      <c r="P18" s="141">
        <f t="shared" si="9"/>
        <v>45861</v>
      </c>
      <c r="Q18" s="141">
        <f t="shared" si="9"/>
        <v>45862</v>
      </c>
      <c r="R18" s="141">
        <f t="shared" si="9"/>
        <v>45863</v>
      </c>
      <c r="S18" s="141">
        <f t="shared" si="9"/>
        <v>45864</v>
      </c>
      <c r="T18" s="141">
        <f t="shared" si="9"/>
        <v>45865</v>
      </c>
      <c r="U18" s="141">
        <f t="shared" si="9"/>
        <v>45866</v>
      </c>
      <c r="V18" s="141">
        <f t="shared" si="9"/>
        <v>45867</v>
      </c>
      <c r="W18" s="141">
        <f t="shared" si="9"/>
        <v>45868</v>
      </c>
      <c r="X18" s="141">
        <f t="shared" si="9"/>
        <v>45869</v>
      </c>
      <c r="Y18" s="254" t="s">
        <v>6</v>
      </c>
      <c r="Z18" s="254" t="s">
        <v>7</v>
      </c>
      <c r="AA18" s="209"/>
      <c r="AB18" s="114"/>
    </row>
    <row r="19" spans="1:29" ht="26.25" customHeight="1">
      <c r="A19" s="255"/>
      <c r="B19" s="255"/>
      <c r="C19" s="255"/>
      <c r="D19" s="255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X19" si="10">IF(I18="","",TEXT(WEEKDAY(I18), "ddd"))</f>
        <v>Wed</v>
      </c>
      <c r="J19" s="222" t="str">
        <f t="shared" si="10"/>
        <v>Thu</v>
      </c>
      <c r="K19" s="222" t="str">
        <f t="shared" si="10"/>
        <v>Fri</v>
      </c>
      <c r="L19" s="222" t="str">
        <f t="shared" si="10"/>
        <v>Sat</v>
      </c>
      <c r="M19" s="222" t="str">
        <f t="shared" si="10"/>
        <v>Sun</v>
      </c>
      <c r="N19" s="222" t="str">
        <f t="shared" si="10"/>
        <v>Mon</v>
      </c>
      <c r="O19" s="222" t="str">
        <f t="shared" si="10"/>
        <v>Tue</v>
      </c>
      <c r="P19" s="127" t="str">
        <f t="shared" si="10"/>
        <v>Wed</v>
      </c>
      <c r="Q19" s="127" t="str">
        <f t="shared" si="10"/>
        <v>Thu</v>
      </c>
      <c r="R19" s="222" t="str">
        <f t="shared" si="10"/>
        <v>Fri</v>
      </c>
      <c r="S19" s="222" t="str">
        <f t="shared" si="10"/>
        <v>Sat</v>
      </c>
      <c r="T19" s="222" t="str">
        <f t="shared" si="10"/>
        <v>Sun</v>
      </c>
      <c r="U19" s="222" t="str">
        <f t="shared" si="10"/>
        <v>Mon</v>
      </c>
      <c r="V19" s="222" t="str">
        <f t="shared" si="10"/>
        <v>Tue</v>
      </c>
      <c r="W19" s="127" t="str">
        <f t="shared" si="10"/>
        <v>Wed</v>
      </c>
      <c r="X19" s="127" t="str">
        <f t="shared" si="10"/>
        <v>Thu</v>
      </c>
      <c r="Y19" s="255"/>
      <c r="Z19" s="255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96</v>
      </c>
      <c r="E20" s="134">
        <f t="shared" ref="E20:E25" si="12">Z20*8</f>
        <v>96</v>
      </c>
      <c r="F20" s="134">
        <f t="shared" ref="F20:F25" si="13">G20+H20</f>
        <v>96</v>
      </c>
      <c r="G20" s="134">
        <f t="shared" ref="G20:G25" si="14">SUM(I20:X20)</f>
        <v>96</v>
      </c>
      <c r="H20" s="135">
        <v>0</v>
      </c>
      <c r="I20" s="180">
        <v>8</v>
      </c>
      <c r="J20" s="180">
        <v>8</v>
      </c>
      <c r="K20" s="180">
        <v>8</v>
      </c>
      <c r="L20" s="199"/>
      <c r="M20" s="199"/>
      <c r="N20" s="180">
        <v>8</v>
      </c>
      <c r="O20" s="180">
        <v>8</v>
      </c>
      <c r="P20" s="180">
        <v>8</v>
      </c>
      <c r="Q20" s="180">
        <v>8</v>
      </c>
      <c r="R20" s="180">
        <v>8</v>
      </c>
      <c r="S20" s="199"/>
      <c r="T20" s="199"/>
      <c r="U20" s="180">
        <v>8</v>
      </c>
      <c r="V20" s="180">
        <v>8</v>
      </c>
      <c r="W20" s="180">
        <v>8</v>
      </c>
      <c r="X20" s="207">
        <v>8</v>
      </c>
      <c r="Y20" s="134">
        <f t="shared" ref="Y20:Y25" si="15">Z20-COUNTA(I20:X20)</f>
        <v>0</v>
      </c>
      <c r="Z20" s="136">
        <v>12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96</v>
      </c>
      <c r="E21" s="134">
        <f t="shared" si="12"/>
        <v>96</v>
      </c>
      <c r="F21" s="134">
        <f t="shared" si="13"/>
        <v>96</v>
      </c>
      <c r="G21" s="134">
        <f t="shared" si="14"/>
        <v>96</v>
      </c>
      <c r="H21" s="135">
        <v>0</v>
      </c>
      <c r="I21" s="180">
        <v>8</v>
      </c>
      <c r="J21" s="180">
        <v>8</v>
      </c>
      <c r="K21" s="180">
        <v>8</v>
      </c>
      <c r="L21" s="199"/>
      <c r="M21" s="199"/>
      <c r="N21" s="180">
        <v>8</v>
      </c>
      <c r="O21" s="183">
        <v>8</v>
      </c>
      <c r="P21" s="180">
        <v>8</v>
      </c>
      <c r="Q21" s="180">
        <v>8</v>
      </c>
      <c r="R21" s="183">
        <v>8</v>
      </c>
      <c r="S21" s="199"/>
      <c r="T21" s="199"/>
      <c r="U21" s="180">
        <v>8</v>
      </c>
      <c r="V21" s="183">
        <v>8</v>
      </c>
      <c r="W21" s="180">
        <v>8</v>
      </c>
      <c r="X21" s="207">
        <v>8</v>
      </c>
      <c r="Y21" s="134">
        <f t="shared" si="15"/>
        <v>0</v>
      </c>
      <c r="Z21" s="136">
        <v>12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96</v>
      </c>
      <c r="E22" s="134">
        <f t="shared" si="12"/>
        <v>96</v>
      </c>
      <c r="F22" s="134">
        <f t="shared" si="13"/>
        <v>96</v>
      </c>
      <c r="G22" s="134">
        <f t="shared" si="14"/>
        <v>96</v>
      </c>
      <c r="H22" s="135">
        <v>0</v>
      </c>
      <c r="I22" s="180">
        <v>8</v>
      </c>
      <c r="J22" s="180">
        <v>8</v>
      </c>
      <c r="K22" s="180">
        <v>8</v>
      </c>
      <c r="L22" s="199"/>
      <c r="M22" s="199"/>
      <c r="N22" s="180">
        <v>8</v>
      </c>
      <c r="O22" s="180">
        <v>8</v>
      </c>
      <c r="P22" s="180">
        <v>8</v>
      </c>
      <c r="Q22" s="180">
        <v>8</v>
      </c>
      <c r="R22" s="180">
        <v>8</v>
      </c>
      <c r="S22" s="199"/>
      <c r="T22" s="199"/>
      <c r="U22" s="180">
        <v>8</v>
      </c>
      <c r="V22" s="180">
        <v>8</v>
      </c>
      <c r="W22" s="180">
        <v>8</v>
      </c>
      <c r="X22" s="207">
        <v>8</v>
      </c>
      <c r="Y22" s="134">
        <f t="shared" si="15"/>
        <v>0</v>
      </c>
      <c r="Z22" s="136">
        <v>12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96</v>
      </c>
      <c r="E23" s="134">
        <f t="shared" si="12"/>
        <v>96</v>
      </c>
      <c r="F23" s="134">
        <f t="shared" si="13"/>
        <v>96</v>
      </c>
      <c r="G23" s="134">
        <f t="shared" si="14"/>
        <v>96</v>
      </c>
      <c r="H23" s="135">
        <v>0</v>
      </c>
      <c r="I23" s="180">
        <v>8</v>
      </c>
      <c r="J23" s="180">
        <v>8</v>
      </c>
      <c r="K23" s="180">
        <v>8</v>
      </c>
      <c r="L23" s="199"/>
      <c r="M23" s="199"/>
      <c r="N23" s="180">
        <v>8</v>
      </c>
      <c r="O23" s="183">
        <v>8</v>
      </c>
      <c r="P23" s="180">
        <v>8</v>
      </c>
      <c r="Q23" s="180">
        <v>8</v>
      </c>
      <c r="R23" s="183">
        <v>8</v>
      </c>
      <c r="S23" s="199"/>
      <c r="T23" s="199"/>
      <c r="U23" s="180">
        <v>8</v>
      </c>
      <c r="V23" s="183">
        <v>8</v>
      </c>
      <c r="W23" s="180">
        <v>8</v>
      </c>
      <c r="X23" s="207">
        <v>8</v>
      </c>
      <c r="Y23" s="134">
        <f t="shared" si="15"/>
        <v>0</v>
      </c>
      <c r="Z23" s="136">
        <v>12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96</v>
      </c>
      <c r="E24" s="134">
        <f t="shared" si="12"/>
        <v>96</v>
      </c>
      <c r="F24" s="134">
        <f t="shared" si="13"/>
        <v>96</v>
      </c>
      <c r="G24" s="134">
        <f t="shared" si="14"/>
        <v>96</v>
      </c>
      <c r="H24" s="135">
        <v>0</v>
      </c>
      <c r="I24" s="180">
        <v>8</v>
      </c>
      <c r="J24" s="180">
        <v>8</v>
      </c>
      <c r="K24" s="180">
        <v>8</v>
      </c>
      <c r="L24" s="199"/>
      <c r="M24" s="199"/>
      <c r="N24" s="180">
        <v>8</v>
      </c>
      <c r="O24" s="180">
        <v>8</v>
      </c>
      <c r="P24" s="180">
        <v>8</v>
      </c>
      <c r="Q24" s="180">
        <v>8</v>
      </c>
      <c r="R24" s="180">
        <v>8</v>
      </c>
      <c r="S24" s="199"/>
      <c r="T24" s="199"/>
      <c r="U24" s="180">
        <v>8</v>
      </c>
      <c r="V24" s="180">
        <v>8</v>
      </c>
      <c r="W24" s="180">
        <v>8</v>
      </c>
      <c r="X24" s="207">
        <v>8</v>
      </c>
      <c r="Y24" s="134">
        <f t="shared" si="15"/>
        <v>0</v>
      </c>
      <c r="Z24" s="136">
        <v>12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96</v>
      </c>
      <c r="E25" s="134">
        <f t="shared" si="12"/>
        <v>96</v>
      </c>
      <c r="F25" s="134">
        <f t="shared" si="13"/>
        <v>80</v>
      </c>
      <c r="G25" s="134">
        <f t="shared" si="14"/>
        <v>80</v>
      </c>
      <c r="H25" s="135">
        <v>0</v>
      </c>
      <c r="I25" s="180">
        <v>8</v>
      </c>
      <c r="J25" s="180">
        <v>8</v>
      </c>
      <c r="K25" s="180">
        <v>8</v>
      </c>
      <c r="L25" s="199"/>
      <c r="M25" s="199"/>
      <c r="N25" s="180">
        <v>8</v>
      </c>
      <c r="O25" s="186"/>
      <c r="P25" s="186"/>
      <c r="Q25" s="180">
        <v>8</v>
      </c>
      <c r="R25" s="183">
        <v>8</v>
      </c>
      <c r="S25" s="200"/>
      <c r="T25" s="200"/>
      <c r="U25" s="180">
        <v>8</v>
      </c>
      <c r="V25" s="183">
        <v>8</v>
      </c>
      <c r="W25" s="180">
        <v>8</v>
      </c>
      <c r="X25" s="207">
        <v>8</v>
      </c>
      <c r="Y25" s="134">
        <f t="shared" si="15"/>
        <v>2</v>
      </c>
      <c r="Z25" s="136">
        <v>12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576</v>
      </c>
      <c r="E30" s="224">
        <f t="shared" si="16"/>
        <v>576</v>
      </c>
      <c r="F30" s="224">
        <f t="shared" si="16"/>
        <v>560</v>
      </c>
      <c r="G30" s="224">
        <f t="shared" si="16"/>
        <v>560</v>
      </c>
      <c r="H30" s="224">
        <f t="shared" si="16"/>
        <v>0</v>
      </c>
      <c r="I30" s="224">
        <f t="shared" si="16"/>
        <v>48</v>
      </c>
      <c r="J30" s="224">
        <f t="shared" si="16"/>
        <v>48</v>
      </c>
      <c r="K30" s="224">
        <f t="shared" si="16"/>
        <v>48</v>
      </c>
      <c r="L30" s="224">
        <f t="shared" si="16"/>
        <v>0</v>
      </c>
      <c r="M30" s="224">
        <f t="shared" si="16"/>
        <v>0</v>
      </c>
      <c r="N30" s="224">
        <f t="shared" si="16"/>
        <v>48</v>
      </c>
      <c r="O30" s="224">
        <f t="shared" si="16"/>
        <v>40</v>
      </c>
      <c r="P30" s="224">
        <f t="shared" si="16"/>
        <v>40</v>
      </c>
      <c r="Q30" s="224">
        <f t="shared" si="16"/>
        <v>48</v>
      </c>
      <c r="R30" s="224">
        <f t="shared" si="16"/>
        <v>48</v>
      </c>
      <c r="S30" s="224">
        <f t="shared" si="16"/>
        <v>0</v>
      </c>
      <c r="T30" s="224">
        <f t="shared" si="16"/>
        <v>0</v>
      </c>
      <c r="U30" s="224">
        <f t="shared" si="16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184</v>
      </c>
      <c r="C34" s="154">
        <f t="shared" ref="C34:C39" si="17">E5+E20</f>
        <v>184</v>
      </c>
      <c r="D34" s="155">
        <f t="shared" ref="D34:D39" si="18">B34</f>
        <v>184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184</v>
      </c>
      <c r="C35" s="154">
        <f t="shared" si="17"/>
        <v>184</v>
      </c>
      <c r="D35" s="155">
        <f t="shared" si="18"/>
        <v>184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184</v>
      </c>
      <c r="C36" s="154">
        <f t="shared" si="17"/>
        <v>184</v>
      </c>
      <c r="D36" s="155">
        <f t="shared" si="18"/>
        <v>184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184</v>
      </c>
      <c r="C37" s="154">
        <f t="shared" si="17"/>
        <v>184</v>
      </c>
      <c r="D37" s="155">
        <f t="shared" si="18"/>
        <v>184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184</v>
      </c>
      <c r="C38" s="217">
        <f t="shared" si="17"/>
        <v>184</v>
      </c>
      <c r="D38" s="218">
        <f t="shared" si="18"/>
        <v>184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168</v>
      </c>
      <c r="C39" s="159">
        <f t="shared" si="17"/>
        <v>184</v>
      </c>
      <c r="D39" s="160">
        <f t="shared" si="18"/>
        <v>168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6" t="s">
        <v>0</v>
      </c>
      <c r="B46" s="257"/>
      <c r="C46" s="258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11</v>
      </c>
      <c r="C50" s="173">
        <f t="shared" si="20"/>
        <v>88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6" t="s">
        <v>22</v>
      </c>
      <c r="B53" s="257"/>
      <c r="C53" s="258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12</v>
      </c>
      <c r="C55" s="171">
        <f t="shared" ref="C55:C56" si="21">B55*8</f>
        <v>96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12</v>
      </c>
      <c r="C57" s="173">
        <f t="shared" si="22"/>
        <v>96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184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4"/>
    <row r="261" s="115" customFormat="1" ht="14"/>
    <row r="262" s="115" customFormat="1" ht="14"/>
    <row r="263" s="115" customFormat="1" ht="14"/>
    <row r="264" s="115" customFormat="1" ht="14"/>
    <row r="265" s="115" customFormat="1" ht="14"/>
    <row r="266" s="115" customFormat="1" ht="14"/>
    <row r="267" s="115" customFormat="1" ht="14"/>
    <row r="268" s="115" customFormat="1" ht="14"/>
    <row r="269" s="115" customFormat="1" ht="14"/>
    <row r="270" s="115" customFormat="1" ht="14"/>
    <row r="271" s="115" customFormat="1" ht="14"/>
    <row r="272" s="115" customFormat="1" ht="14"/>
    <row r="273" s="115" customFormat="1" ht="14"/>
    <row r="274" s="115" customFormat="1" ht="14"/>
    <row r="275" s="115" customFormat="1" ht="14"/>
    <row r="276" s="115" customFormat="1" ht="14"/>
    <row r="277" s="115" customFormat="1" ht="14"/>
    <row r="278" s="115" customFormat="1" ht="14"/>
    <row r="279" s="115" customFormat="1" ht="14"/>
    <row r="280" s="115" customFormat="1" ht="14"/>
    <row r="281" s="115" customFormat="1" ht="14"/>
    <row r="282" s="115" customFormat="1" ht="14"/>
    <row r="283" s="115" customFormat="1" ht="14"/>
    <row r="284" s="115" customFormat="1" ht="14"/>
    <row r="285" s="115" customFormat="1" ht="14"/>
    <row r="286" s="115" customFormat="1" ht="14"/>
    <row r="287" s="115" customFormat="1" ht="14"/>
    <row r="288" s="115" customFormat="1" ht="14"/>
    <row r="289" s="115" customFormat="1" ht="14"/>
    <row r="290" s="115" customFormat="1" ht="14"/>
    <row r="291" s="115" customFormat="1" ht="14"/>
    <row r="292" s="115" customFormat="1" ht="14"/>
    <row r="293" s="115" customFormat="1" ht="14"/>
    <row r="294" s="115" customFormat="1" ht="14"/>
    <row r="295" s="115" customFormat="1" ht="14"/>
    <row r="296" s="115" customFormat="1" ht="14"/>
    <row r="297" s="115" customFormat="1" ht="14"/>
    <row r="298" s="115" customFormat="1" ht="14"/>
    <row r="299" s="115" customFormat="1" ht="14"/>
    <row r="300" s="115" customFormat="1" ht="14"/>
    <row r="301" s="115" customFormat="1" ht="14"/>
    <row r="302" s="115" customFormat="1" ht="14"/>
    <row r="303" s="115" customFormat="1" ht="14"/>
    <row r="304" s="115" customFormat="1" ht="14"/>
    <row r="305" s="115" customFormat="1" ht="14"/>
    <row r="306" s="115" customFormat="1" ht="14"/>
    <row r="307" s="115" customFormat="1" ht="14"/>
    <row r="308" s="115" customFormat="1" ht="14"/>
    <row r="309" s="115" customFormat="1" ht="14"/>
    <row r="310" s="115" customFormat="1" ht="14"/>
    <row r="311" s="115" customFormat="1" ht="14"/>
    <row r="312" s="115" customFormat="1" ht="14"/>
    <row r="313" s="115" customFormat="1" ht="14"/>
    <row r="314" s="115" customFormat="1" ht="14"/>
    <row r="315" s="115" customFormat="1" ht="14"/>
    <row r="316" s="115" customFormat="1" ht="14"/>
    <row r="317" s="115" customFormat="1" ht="14"/>
    <row r="318" s="115" customFormat="1" ht="14"/>
    <row r="319" s="115" customFormat="1" ht="14"/>
    <row r="320" s="115" customFormat="1" ht="14"/>
    <row r="321" s="115" customFormat="1" ht="14"/>
    <row r="322" s="115" customFormat="1" ht="14"/>
    <row r="323" s="115" customFormat="1" ht="14"/>
    <row r="324" s="115" customFormat="1" ht="14"/>
    <row r="325" s="115" customFormat="1" ht="14"/>
    <row r="326" s="115" customFormat="1" ht="14"/>
    <row r="327" s="115" customFormat="1" ht="14"/>
    <row r="328" s="115" customFormat="1" ht="14"/>
    <row r="329" s="115" customFormat="1" ht="14"/>
    <row r="330" s="115" customFormat="1" ht="14"/>
    <row r="331" s="115" customFormat="1" ht="14"/>
    <row r="332" s="115" customFormat="1" ht="14"/>
    <row r="333" s="115" customFormat="1" ht="14"/>
    <row r="334" s="115" customFormat="1" ht="14"/>
    <row r="335" s="115" customFormat="1" ht="14"/>
    <row r="336" s="115" customFormat="1" ht="14"/>
    <row r="337" s="115" customFormat="1" ht="14"/>
    <row r="338" s="115" customFormat="1" ht="14"/>
    <row r="339" s="115" customFormat="1" ht="14"/>
    <row r="340" s="115" customFormat="1" ht="14"/>
    <row r="341" s="115" customFormat="1" ht="14"/>
    <row r="342" s="115" customFormat="1" ht="14"/>
    <row r="343" s="115" customFormat="1" ht="14"/>
    <row r="344" s="115" customFormat="1" ht="14"/>
    <row r="345" s="115" customFormat="1" ht="14"/>
    <row r="346" s="115" customFormat="1" ht="14"/>
    <row r="347" s="115" customFormat="1" ht="14"/>
    <row r="348" s="115" customFormat="1" ht="14"/>
    <row r="349" s="115" customFormat="1" ht="14"/>
    <row r="350" s="115" customFormat="1" ht="14"/>
    <row r="351" s="115" customFormat="1" ht="14"/>
    <row r="352" s="115" customFormat="1" ht="14"/>
    <row r="353" s="115" customFormat="1" ht="14"/>
    <row r="354" s="115" customFormat="1" ht="14"/>
    <row r="355" s="115" customFormat="1" ht="14"/>
    <row r="356" s="115" customFormat="1" ht="14"/>
    <row r="357" s="115" customFormat="1" ht="14"/>
    <row r="358" s="115" customFormat="1" ht="14"/>
    <row r="359" s="115" customFormat="1" ht="14"/>
    <row r="360" s="115" customFormat="1" ht="14"/>
    <row r="361" s="115" customFormat="1" ht="14"/>
    <row r="362" s="115" customFormat="1" ht="14"/>
    <row r="363" s="115" customFormat="1" ht="14"/>
    <row r="364" s="115" customFormat="1" ht="14"/>
    <row r="365" s="115" customFormat="1" ht="14"/>
    <row r="366" s="115" customFormat="1" ht="14"/>
    <row r="367" s="115" customFormat="1" ht="14"/>
    <row r="368" s="115" customFormat="1" ht="14"/>
    <row r="369" s="115" customFormat="1" ht="14"/>
    <row r="370" s="115" customFormat="1" ht="14"/>
    <row r="371" s="115" customFormat="1" ht="14"/>
    <row r="372" s="115" customFormat="1" ht="14"/>
    <row r="373" s="115" customFormat="1" ht="14"/>
    <row r="374" s="115" customFormat="1" ht="14"/>
    <row r="375" s="115" customFormat="1" ht="14"/>
    <row r="376" s="115" customFormat="1" ht="14"/>
    <row r="377" s="115" customFormat="1" ht="14"/>
    <row r="378" s="115" customFormat="1" ht="14"/>
    <row r="379" s="115" customFormat="1" ht="14"/>
    <row r="380" s="115" customFormat="1" ht="14"/>
    <row r="381" s="115" customFormat="1" ht="14"/>
    <row r="382" s="115" customFormat="1" ht="14"/>
    <row r="383" s="115" customFormat="1" ht="14"/>
    <row r="384" s="115" customFormat="1" ht="14"/>
    <row r="385" s="115" customFormat="1" ht="14"/>
    <row r="386" s="115" customFormat="1" ht="14"/>
    <row r="387" s="115" customFormat="1" ht="14"/>
    <row r="388" s="115" customFormat="1" ht="14"/>
    <row r="389" s="115" customFormat="1" ht="14"/>
    <row r="390" s="115" customFormat="1" ht="14"/>
    <row r="391" s="115" customFormat="1" ht="14"/>
    <row r="392" s="115" customFormat="1" ht="14"/>
    <row r="393" s="115" customFormat="1" ht="14"/>
    <row r="394" s="115" customFormat="1" ht="14"/>
    <row r="395" s="115" customFormat="1" ht="14"/>
    <row r="396" s="115" customFormat="1" ht="14"/>
    <row r="397" s="115" customFormat="1" ht="14"/>
    <row r="398" s="115" customFormat="1" ht="14"/>
    <row r="399" s="115" customFormat="1" ht="14"/>
    <row r="400" s="115" customFormat="1" ht="14"/>
    <row r="401" s="115" customFormat="1" ht="14"/>
    <row r="402" s="115" customFormat="1" ht="14"/>
    <row r="403" s="115" customFormat="1" ht="14"/>
    <row r="404" s="115" customFormat="1" ht="14"/>
    <row r="405" s="115" customFormat="1" ht="14"/>
    <row r="406" s="115" customFormat="1" ht="14"/>
    <row r="407" s="115" customFormat="1" ht="14"/>
    <row r="408" s="115" customFormat="1" ht="14"/>
    <row r="409" s="115" customFormat="1" ht="14"/>
    <row r="410" s="115" customFormat="1" ht="14"/>
    <row r="411" s="115" customFormat="1" ht="14"/>
    <row r="412" s="115" customFormat="1" ht="14"/>
    <row r="413" s="115" customFormat="1" ht="14"/>
    <row r="414" s="115" customFormat="1" ht="14"/>
    <row r="415" s="115" customFormat="1" ht="14"/>
    <row r="416" s="115" customFormat="1" ht="14"/>
    <row r="417" s="115" customFormat="1" ht="14"/>
    <row r="418" s="115" customFormat="1" ht="14"/>
    <row r="419" s="115" customFormat="1" ht="14"/>
    <row r="420" s="115" customFormat="1" ht="14"/>
    <row r="421" s="115" customFormat="1" ht="14"/>
    <row r="422" s="115" customFormat="1" ht="14"/>
    <row r="423" s="115" customFormat="1" ht="14"/>
    <row r="424" s="115" customFormat="1" ht="14"/>
    <row r="425" s="115" customFormat="1" ht="14"/>
    <row r="426" s="115" customFormat="1" ht="14"/>
    <row r="427" s="115" customFormat="1" ht="14"/>
    <row r="428" s="115" customFormat="1" ht="14"/>
    <row r="429" s="115" customFormat="1" ht="14"/>
    <row r="430" s="115" customFormat="1" ht="14"/>
    <row r="431" s="115" customFormat="1" ht="14"/>
    <row r="432" s="115" customFormat="1" ht="14"/>
    <row r="433" s="115" customFormat="1" ht="14"/>
    <row r="434" s="115" customFormat="1" ht="14"/>
    <row r="435" s="115" customFormat="1" ht="14"/>
    <row r="436" s="115" customFormat="1" ht="14"/>
    <row r="437" s="115" customFormat="1" ht="14"/>
    <row r="438" s="115" customFormat="1" ht="14"/>
    <row r="439" s="115" customFormat="1" ht="14"/>
    <row r="440" s="115" customFormat="1" ht="14"/>
    <row r="441" s="115" customFormat="1" ht="14"/>
    <row r="442" s="115" customFormat="1" ht="14"/>
    <row r="443" s="115" customFormat="1" ht="14"/>
    <row r="444" s="115" customFormat="1" ht="14"/>
    <row r="445" s="115" customFormat="1" ht="14"/>
    <row r="446" s="115" customFormat="1" ht="14"/>
    <row r="447" s="115" customFormat="1" ht="14"/>
    <row r="448" s="115" customFormat="1" ht="14"/>
    <row r="449" s="115" customFormat="1" ht="14"/>
    <row r="450" s="115" customFormat="1" ht="14"/>
    <row r="451" s="115" customFormat="1" ht="14"/>
    <row r="452" s="115" customFormat="1" ht="14"/>
    <row r="453" s="115" customFormat="1" ht="14"/>
    <row r="454" s="115" customFormat="1" ht="14"/>
    <row r="455" s="115" customFormat="1" ht="14"/>
    <row r="456" s="115" customFormat="1" ht="14"/>
    <row r="457" s="115" customFormat="1" ht="14"/>
    <row r="458" s="115" customFormat="1" ht="14"/>
    <row r="459" s="115" customFormat="1" ht="14"/>
    <row r="460" s="115" customFormat="1" ht="14"/>
    <row r="461" s="115" customFormat="1" ht="14"/>
    <row r="462" s="115" customFormat="1" ht="14"/>
    <row r="463" s="115" customFormat="1" ht="14"/>
    <row r="464" s="115" customFormat="1" ht="14"/>
    <row r="465" s="115" customFormat="1" ht="14"/>
    <row r="466" s="115" customFormat="1" ht="14"/>
    <row r="467" s="115" customFormat="1" ht="14"/>
    <row r="468" s="115" customFormat="1" ht="14"/>
    <row r="469" s="115" customFormat="1" ht="14"/>
    <row r="470" s="115" customFormat="1" ht="14"/>
    <row r="471" s="115" customFormat="1" ht="14"/>
    <row r="472" s="115" customFormat="1" ht="14"/>
    <row r="473" s="115" customFormat="1" ht="14"/>
    <row r="474" s="115" customFormat="1" ht="14"/>
    <row r="475" s="115" customFormat="1" ht="14"/>
    <row r="476" s="115" customFormat="1" ht="14"/>
    <row r="477" s="115" customFormat="1" ht="14"/>
    <row r="478" s="115" customFormat="1" ht="14"/>
    <row r="479" s="115" customFormat="1" ht="14"/>
    <row r="480" s="115" customFormat="1" ht="14"/>
    <row r="481" s="115" customFormat="1" ht="14"/>
    <row r="482" s="115" customFormat="1" ht="14"/>
    <row r="483" s="115" customFormat="1" ht="14"/>
    <row r="484" s="115" customFormat="1" ht="14"/>
    <row r="485" s="115" customFormat="1" ht="14"/>
    <row r="486" s="115" customFormat="1" ht="14"/>
    <row r="487" s="115" customFormat="1" ht="14"/>
    <row r="488" s="115" customFormat="1" ht="14"/>
    <row r="489" s="115" customFormat="1" ht="14"/>
    <row r="490" s="115" customFormat="1" ht="14"/>
    <row r="491" s="115" customFormat="1" ht="14"/>
    <row r="492" s="115" customFormat="1" ht="14"/>
    <row r="493" s="115" customFormat="1" ht="14"/>
    <row r="494" s="115" customFormat="1" ht="14"/>
    <row r="495" s="115" customFormat="1" ht="14"/>
    <row r="496" s="115" customFormat="1" ht="14"/>
    <row r="497" s="115" customFormat="1" ht="14"/>
    <row r="498" s="115" customFormat="1" ht="14"/>
    <row r="499" s="115" customFormat="1" ht="14"/>
    <row r="500" s="115" customFormat="1" ht="14"/>
    <row r="501" s="115" customFormat="1" ht="14"/>
    <row r="502" s="115" customFormat="1" ht="14"/>
    <row r="503" s="115" customFormat="1" ht="14"/>
    <row r="504" s="115" customFormat="1" ht="14"/>
    <row r="505" s="115" customFormat="1" ht="14"/>
    <row r="506" s="115" customFormat="1" ht="14"/>
    <row r="507" s="115" customFormat="1" ht="14"/>
    <row r="508" s="115" customFormat="1" ht="14"/>
    <row r="509" s="115" customFormat="1" ht="14"/>
    <row r="510" s="115" customFormat="1" ht="14"/>
    <row r="511" s="115" customFormat="1" ht="14"/>
    <row r="512" s="115" customFormat="1" ht="14"/>
    <row r="513" s="115" customFormat="1" ht="14"/>
    <row r="514" s="115" customFormat="1" ht="14"/>
    <row r="515" s="115" customFormat="1" ht="14"/>
    <row r="516" s="115" customFormat="1" ht="14"/>
    <row r="517" s="115" customFormat="1" ht="14"/>
    <row r="518" s="115" customFormat="1" ht="14"/>
    <row r="519" s="115" customFormat="1" ht="14"/>
    <row r="520" s="115" customFormat="1" ht="14"/>
    <row r="521" s="115" customFormat="1" ht="14"/>
    <row r="522" s="115" customFormat="1" ht="14"/>
    <row r="523" s="115" customFormat="1" ht="14"/>
    <row r="524" s="115" customFormat="1" ht="14"/>
    <row r="525" s="115" customFormat="1" ht="14"/>
    <row r="526" s="115" customFormat="1" ht="14"/>
    <row r="527" s="115" customFormat="1" ht="14"/>
    <row r="528" s="115" customFormat="1" ht="14"/>
    <row r="529" s="115" customFormat="1" ht="14"/>
    <row r="530" s="115" customFormat="1" ht="14"/>
    <row r="531" s="115" customFormat="1" ht="14"/>
    <row r="532" s="115" customFormat="1" ht="14"/>
    <row r="533" s="115" customFormat="1" ht="14"/>
    <row r="534" s="115" customFormat="1" ht="14"/>
    <row r="535" s="115" customFormat="1" ht="14"/>
    <row r="536" s="115" customFormat="1" ht="14"/>
    <row r="537" s="115" customFormat="1" ht="14"/>
    <row r="538" s="115" customFormat="1" ht="14"/>
    <row r="539" s="115" customFormat="1" ht="14"/>
    <row r="540" s="115" customFormat="1" ht="14"/>
    <row r="541" s="115" customFormat="1" ht="14"/>
    <row r="542" s="115" customFormat="1" ht="14"/>
    <row r="543" s="115" customFormat="1" ht="14"/>
    <row r="544" s="115" customFormat="1" ht="14"/>
    <row r="545" s="115" customFormat="1" ht="14"/>
    <row r="546" s="115" customFormat="1" ht="14"/>
    <row r="547" s="115" customFormat="1" ht="14"/>
    <row r="548" s="115" customFormat="1" ht="14"/>
    <row r="549" s="115" customFormat="1" ht="14"/>
    <row r="550" s="115" customFormat="1" ht="14"/>
    <row r="551" s="115" customFormat="1" ht="14"/>
    <row r="552" s="115" customFormat="1" ht="14"/>
    <row r="553" s="115" customFormat="1" ht="14"/>
    <row r="554" s="115" customFormat="1" ht="14"/>
    <row r="555" s="115" customFormat="1" ht="14"/>
    <row r="556" s="115" customFormat="1" ht="14"/>
    <row r="557" s="115" customFormat="1" ht="14"/>
    <row r="558" s="115" customFormat="1" ht="14"/>
    <row r="559" s="115" customFormat="1" ht="14"/>
    <row r="560" s="115" customFormat="1" ht="14"/>
    <row r="561" s="115" customFormat="1" ht="14"/>
    <row r="562" s="115" customFormat="1" ht="14"/>
    <row r="563" s="115" customFormat="1" ht="14"/>
    <row r="564" s="115" customFormat="1" ht="14"/>
    <row r="565" s="115" customFormat="1" ht="14"/>
    <row r="566" s="115" customFormat="1" ht="14"/>
    <row r="567" s="115" customFormat="1" ht="14"/>
    <row r="568" s="115" customFormat="1" ht="14"/>
    <row r="569" s="115" customFormat="1" ht="14"/>
    <row r="570" s="115" customFormat="1" ht="14"/>
    <row r="571" s="115" customFormat="1" ht="14"/>
    <row r="572" s="115" customFormat="1" ht="14"/>
    <row r="573" s="115" customFormat="1" ht="14"/>
    <row r="574" s="115" customFormat="1" ht="14"/>
    <row r="575" s="115" customFormat="1" ht="14"/>
    <row r="576" s="115" customFormat="1" ht="14"/>
    <row r="577" s="115" customFormat="1" ht="14"/>
    <row r="578" s="115" customFormat="1" ht="14"/>
    <row r="579" s="115" customFormat="1" ht="14"/>
    <row r="580" s="115" customFormat="1" ht="14"/>
    <row r="581" s="115" customFormat="1" ht="14"/>
    <row r="582" s="115" customFormat="1" ht="14"/>
    <row r="583" s="115" customFormat="1" ht="14"/>
    <row r="584" s="115" customFormat="1" ht="14"/>
    <row r="585" s="115" customFormat="1" ht="14"/>
    <row r="586" s="115" customFormat="1" ht="14"/>
    <row r="587" s="115" customFormat="1" ht="14"/>
    <row r="588" s="115" customFormat="1" ht="14"/>
    <row r="589" s="115" customFormat="1" ht="14"/>
    <row r="590" s="115" customFormat="1" ht="14"/>
    <row r="591" s="115" customFormat="1" ht="14"/>
    <row r="592" s="115" customFormat="1" ht="14"/>
    <row r="593" s="115" customFormat="1" ht="14"/>
    <row r="594" s="115" customFormat="1" ht="14"/>
    <row r="595" s="115" customFormat="1" ht="14"/>
    <row r="596" s="115" customFormat="1" ht="14"/>
    <row r="597" s="115" customFormat="1" ht="14"/>
    <row r="598" s="115" customFormat="1" ht="14"/>
    <row r="599" s="115" customFormat="1" ht="14"/>
    <row r="600" s="115" customFormat="1" ht="14"/>
    <row r="601" s="115" customFormat="1" ht="14"/>
    <row r="602" s="115" customFormat="1" ht="14"/>
    <row r="603" s="115" customFormat="1" ht="14"/>
    <row r="604" s="115" customFormat="1" ht="14"/>
    <row r="605" s="115" customFormat="1" ht="14"/>
    <row r="606" s="115" customFormat="1" ht="14"/>
    <row r="607" s="115" customFormat="1" ht="14"/>
    <row r="608" s="115" customFormat="1" ht="14"/>
    <row r="609" s="115" customFormat="1" ht="14"/>
    <row r="610" s="115" customFormat="1" ht="14"/>
    <row r="611" s="115" customFormat="1" ht="14"/>
    <row r="612" s="115" customFormat="1" ht="14"/>
    <row r="613" s="115" customFormat="1" ht="14"/>
    <row r="614" s="115" customFormat="1" ht="14"/>
    <row r="615" s="115" customFormat="1" ht="14"/>
    <row r="616" s="115" customFormat="1" ht="14"/>
    <row r="617" s="115" customFormat="1" ht="14"/>
    <row r="618" s="115" customFormat="1" ht="14"/>
    <row r="619" s="115" customFormat="1" ht="14"/>
    <row r="620" s="115" customFormat="1" ht="14"/>
    <row r="621" s="115" customFormat="1" ht="14"/>
    <row r="622" s="115" customFormat="1" ht="14"/>
    <row r="623" s="115" customFormat="1" ht="14"/>
    <row r="624" s="115" customFormat="1" ht="14"/>
    <row r="625" s="115" customFormat="1" ht="14"/>
    <row r="626" s="115" customFormat="1" ht="14"/>
    <row r="627" s="115" customFormat="1" ht="14"/>
    <row r="628" s="115" customFormat="1" ht="14"/>
    <row r="629" s="115" customFormat="1" ht="14"/>
    <row r="630" s="115" customFormat="1" ht="14"/>
    <row r="631" s="115" customFormat="1" ht="14"/>
    <row r="632" s="115" customFormat="1" ht="14"/>
    <row r="633" s="115" customFormat="1" ht="14"/>
    <row r="634" s="115" customFormat="1" ht="14"/>
    <row r="635" s="115" customFormat="1" ht="14"/>
    <row r="636" s="115" customFormat="1" ht="14"/>
    <row r="637" s="115" customFormat="1" ht="14"/>
    <row r="638" s="115" customFormat="1" ht="14"/>
    <row r="639" s="115" customFormat="1" ht="14"/>
    <row r="640" s="115" customFormat="1" ht="14"/>
    <row r="641" s="115" customFormat="1" ht="14"/>
    <row r="642" s="115" customFormat="1" ht="14"/>
    <row r="643" s="115" customFormat="1" ht="14"/>
    <row r="644" s="115" customFormat="1" ht="14"/>
    <row r="645" s="115" customFormat="1" ht="14"/>
    <row r="646" s="115" customFormat="1" ht="14"/>
    <row r="647" s="115" customFormat="1" ht="14"/>
    <row r="648" s="115" customFormat="1" ht="14"/>
    <row r="649" s="115" customFormat="1" ht="14"/>
    <row r="650" s="115" customFormat="1" ht="14"/>
    <row r="651" s="115" customFormat="1" ht="14"/>
    <row r="652" s="115" customFormat="1" ht="14"/>
    <row r="653" s="115" customFormat="1" ht="14"/>
    <row r="654" s="115" customFormat="1" ht="14"/>
    <row r="655" s="115" customFormat="1" ht="14"/>
    <row r="656" s="115" customFormat="1" ht="14"/>
    <row r="657" s="115" customFormat="1" ht="14"/>
    <row r="658" s="115" customFormat="1" ht="14"/>
    <row r="659" s="115" customFormat="1" ht="14"/>
    <row r="660" s="115" customFormat="1" ht="14"/>
    <row r="661" s="115" customFormat="1" ht="14"/>
    <row r="662" s="115" customFormat="1" ht="14"/>
    <row r="663" s="115" customFormat="1" ht="14"/>
    <row r="664" s="115" customFormat="1" ht="14"/>
    <row r="665" s="115" customFormat="1" ht="14"/>
    <row r="666" s="115" customFormat="1" ht="14"/>
    <row r="667" s="115" customFormat="1" ht="14"/>
    <row r="668" s="115" customFormat="1" ht="14"/>
    <row r="669" s="115" customFormat="1" ht="14"/>
    <row r="670" s="115" customFormat="1" ht="14"/>
    <row r="671" s="115" customFormat="1" ht="14"/>
    <row r="672" s="115" customFormat="1" ht="14"/>
    <row r="673" s="115" customFormat="1" ht="14"/>
    <row r="674" s="115" customFormat="1" ht="14"/>
    <row r="675" s="115" customFormat="1" ht="14"/>
    <row r="676" s="115" customFormat="1" ht="14"/>
    <row r="677" s="115" customFormat="1" ht="14"/>
    <row r="678" s="115" customFormat="1" ht="14"/>
    <row r="679" s="115" customFormat="1" ht="14"/>
    <row r="680" s="115" customFormat="1" ht="14"/>
    <row r="681" s="115" customFormat="1" ht="14"/>
    <row r="682" s="115" customFormat="1" ht="14"/>
    <row r="683" s="115" customFormat="1" ht="14"/>
    <row r="684" s="115" customFormat="1" ht="14"/>
    <row r="685" s="115" customFormat="1" ht="14"/>
    <row r="686" s="115" customFormat="1" ht="14"/>
    <row r="687" s="115" customFormat="1" ht="14"/>
    <row r="688" s="115" customFormat="1" ht="14"/>
    <row r="689" s="115" customFormat="1" ht="14"/>
    <row r="690" s="115" customFormat="1" ht="14"/>
    <row r="691" s="115" customFormat="1" ht="14"/>
    <row r="692" s="115" customFormat="1" ht="14"/>
    <row r="693" s="115" customFormat="1" ht="14"/>
    <row r="694" s="115" customFormat="1" ht="14"/>
    <row r="695" s="115" customFormat="1" ht="14"/>
    <row r="696" s="115" customFormat="1" ht="14"/>
    <row r="697" s="115" customFormat="1" ht="14"/>
    <row r="698" s="115" customFormat="1" ht="14"/>
    <row r="699" s="115" customFormat="1" ht="14"/>
    <row r="700" s="115" customFormat="1" ht="14"/>
    <row r="701" s="115" customFormat="1" ht="14"/>
    <row r="702" s="115" customFormat="1" ht="14"/>
    <row r="703" s="115" customFormat="1" ht="14"/>
    <row r="704" s="115" customFormat="1" ht="14"/>
    <row r="705" s="115" customFormat="1" ht="14"/>
    <row r="706" s="115" customFormat="1" ht="14"/>
    <row r="707" s="115" customFormat="1" ht="14"/>
    <row r="708" s="115" customFormat="1" ht="14"/>
    <row r="709" s="115" customFormat="1" ht="14"/>
    <row r="710" s="115" customFormat="1" ht="14"/>
    <row r="711" s="115" customFormat="1" ht="14"/>
    <row r="712" s="115" customFormat="1" ht="14"/>
    <row r="713" s="115" customFormat="1" ht="14"/>
    <row r="714" s="115" customFormat="1" ht="14"/>
    <row r="715" s="115" customFormat="1" ht="14"/>
    <row r="716" s="115" customFormat="1" ht="14"/>
    <row r="717" s="115" customFormat="1" ht="14"/>
    <row r="718" s="115" customFormat="1" ht="14"/>
    <row r="719" s="115" customFormat="1" ht="14"/>
    <row r="720" s="115" customFormat="1" ht="14"/>
    <row r="721" s="115" customFormat="1" ht="14"/>
    <row r="722" s="115" customFormat="1" ht="14"/>
    <row r="723" s="115" customFormat="1" ht="14"/>
    <row r="724" s="115" customFormat="1" ht="14"/>
    <row r="725" s="115" customFormat="1" ht="14"/>
    <row r="726" s="115" customFormat="1" ht="14"/>
    <row r="727" s="115" customFormat="1" ht="14"/>
    <row r="728" s="115" customFormat="1" ht="14"/>
    <row r="729" s="115" customFormat="1" ht="14"/>
    <row r="730" s="115" customFormat="1" ht="14"/>
    <row r="731" s="115" customFormat="1" ht="14"/>
    <row r="732" s="115" customFormat="1" ht="14"/>
    <row r="733" s="115" customFormat="1" ht="14"/>
    <row r="734" s="115" customFormat="1" ht="14"/>
    <row r="735" s="115" customFormat="1" ht="14"/>
    <row r="736" s="115" customFormat="1" ht="14"/>
    <row r="737" s="115" customFormat="1" ht="14"/>
    <row r="738" s="115" customFormat="1" ht="14"/>
    <row r="739" s="115" customFormat="1" ht="14"/>
    <row r="740" s="115" customFormat="1" ht="14"/>
    <row r="741" s="115" customFormat="1" ht="14"/>
    <row r="742" s="115" customFormat="1" ht="14"/>
    <row r="743" s="115" customFormat="1" ht="14"/>
    <row r="744" s="115" customFormat="1" ht="14"/>
    <row r="745" s="115" customFormat="1" ht="14"/>
    <row r="746" s="115" customFormat="1" ht="14"/>
    <row r="747" s="115" customFormat="1" ht="14"/>
    <row r="748" s="115" customFormat="1" ht="14"/>
    <row r="749" s="115" customFormat="1" ht="14"/>
    <row r="750" s="115" customFormat="1" ht="14"/>
    <row r="751" s="115" customFormat="1" ht="14"/>
    <row r="752" s="115" customFormat="1" ht="14"/>
    <row r="753" s="115" customFormat="1" ht="14"/>
    <row r="754" s="115" customFormat="1" ht="14"/>
    <row r="755" s="115" customFormat="1" ht="14"/>
    <row r="756" s="115" customFormat="1" ht="14"/>
    <row r="757" s="115" customFormat="1" ht="14"/>
    <row r="758" s="115" customFormat="1" ht="14"/>
    <row r="759" s="115" customFormat="1" ht="14"/>
    <row r="760" s="115" customFormat="1" ht="14"/>
    <row r="761" s="115" customFormat="1" ht="14"/>
    <row r="762" s="115" customFormat="1" ht="14"/>
    <row r="763" s="115" customFormat="1" ht="14"/>
    <row r="764" s="115" customFormat="1" ht="14"/>
    <row r="765" s="115" customFormat="1" ht="14"/>
    <row r="766" s="115" customFormat="1" ht="14"/>
    <row r="767" s="115" customFormat="1" ht="14"/>
    <row r="768" s="115" customFormat="1" ht="14"/>
    <row r="769" s="115" customFormat="1" ht="14"/>
    <row r="770" s="115" customFormat="1" ht="14"/>
    <row r="771" s="115" customFormat="1" ht="14"/>
    <row r="772" s="115" customFormat="1" ht="14"/>
    <row r="773" s="115" customFormat="1" ht="14"/>
    <row r="774" s="115" customFormat="1" ht="14"/>
    <row r="775" s="115" customFormat="1" ht="14"/>
    <row r="776" s="115" customFormat="1" ht="14"/>
    <row r="777" s="115" customFormat="1" ht="14"/>
    <row r="778" s="115" customFormat="1" ht="14"/>
    <row r="779" s="115" customFormat="1" ht="14"/>
    <row r="780" s="115" customFormat="1" ht="14"/>
    <row r="781" s="115" customFormat="1" ht="14"/>
    <row r="782" s="115" customFormat="1" ht="14"/>
    <row r="783" s="115" customFormat="1" ht="14"/>
    <row r="784" s="115" customFormat="1" ht="14"/>
    <row r="785" s="115" customFormat="1" ht="14"/>
    <row r="786" s="115" customFormat="1" ht="14"/>
    <row r="787" s="115" customFormat="1" ht="14"/>
    <row r="788" s="115" customFormat="1" ht="14"/>
    <row r="789" s="115" customFormat="1" ht="14"/>
    <row r="790" s="115" customFormat="1" ht="14"/>
    <row r="791" s="115" customFormat="1" ht="14"/>
    <row r="792" s="115" customFormat="1" ht="14"/>
    <row r="793" s="115" customFormat="1" ht="14"/>
    <row r="794" s="115" customFormat="1" ht="14"/>
    <row r="795" s="115" customFormat="1" ht="14"/>
    <row r="796" s="115" customFormat="1" ht="14"/>
    <row r="797" s="115" customFormat="1" ht="14"/>
    <row r="798" s="115" customFormat="1" ht="14"/>
    <row r="799" s="115" customFormat="1" ht="14"/>
    <row r="800" s="115" customFormat="1" ht="14"/>
    <row r="801" s="115" customFormat="1" ht="14"/>
    <row r="802" s="115" customFormat="1" ht="14"/>
    <row r="803" s="115" customFormat="1" ht="14"/>
    <row r="804" s="115" customFormat="1" ht="14"/>
    <row r="805" s="115" customFormat="1" ht="14"/>
    <row r="806" s="115" customFormat="1" ht="14"/>
    <row r="807" s="115" customFormat="1" ht="14"/>
    <row r="808" s="115" customFormat="1" ht="14"/>
    <row r="809" s="115" customFormat="1" ht="14"/>
    <row r="810" s="115" customFormat="1" ht="14"/>
    <row r="811" s="115" customFormat="1" ht="14"/>
    <row r="812" s="115" customFormat="1" ht="14"/>
    <row r="813" s="115" customFormat="1" ht="14"/>
    <row r="814" s="115" customFormat="1" ht="14"/>
    <row r="815" s="115" customFormat="1" ht="14"/>
    <row r="816" s="115" customFormat="1" ht="14"/>
    <row r="817" s="115" customFormat="1" ht="14"/>
    <row r="818" s="115" customFormat="1" ht="14"/>
    <row r="819" s="115" customFormat="1" ht="14"/>
    <row r="820" s="115" customFormat="1" ht="14"/>
    <row r="821" s="115" customFormat="1" ht="14"/>
    <row r="822" s="115" customFormat="1" ht="14"/>
    <row r="823" s="115" customFormat="1" ht="14"/>
    <row r="824" s="115" customFormat="1" ht="14"/>
    <row r="825" s="115" customFormat="1" ht="14"/>
    <row r="826" s="115" customFormat="1" ht="14"/>
    <row r="827" s="115" customFormat="1" ht="14"/>
    <row r="828" s="115" customFormat="1" ht="14"/>
    <row r="829" s="115" customFormat="1" ht="14"/>
    <row r="830" s="115" customFormat="1" ht="14"/>
    <row r="831" s="115" customFormat="1" ht="14"/>
    <row r="832" s="115" customFormat="1" ht="14"/>
    <row r="833" s="115" customFormat="1" ht="14"/>
    <row r="834" s="115" customFormat="1" ht="14"/>
    <row r="835" s="115" customFormat="1" ht="14"/>
    <row r="836" s="115" customFormat="1" ht="14"/>
    <row r="837" s="115" customFormat="1" ht="14"/>
    <row r="838" s="115" customFormat="1" ht="14"/>
    <row r="839" s="115" customFormat="1" ht="14"/>
    <row r="840" s="115" customFormat="1" ht="14"/>
    <row r="841" s="115" customFormat="1" ht="14"/>
    <row r="842" s="115" customFormat="1" ht="14"/>
    <row r="843" s="115" customFormat="1" ht="14"/>
    <row r="844" s="115" customFormat="1" ht="14"/>
    <row r="845" s="115" customFormat="1" ht="14"/>
    <row r="846" s="115" customFormat="1" ht="14"/>
    <row r="847" s="115" customFormat="1" ht="14"/>
    <row r="848" s="115" customFormat="1" ht="14"/>
    <row r="849" s="115" customFormat="1" ht="14"/>
    <row r="850" s="115" customFormat="1" ht="14"/>
    <row r="851" s="115" customFormat="1" ht="14"/>
    <row r="852" s="115" customFormat="1" ht="14"/>
    <row r="853" s="115" customFormat="1" ht="14"/>
    <row r="854" s="115" customFormat="1" ht="14"/>
    <row r="855" s="115" customFormat="1" ht="14"/>
    <row r="856" s="115" customFormat="1" ht="14"/>
    <row r="857" s="115" customFormat="1" ht="14"/>
    <row r="858" s="115" customFormat="1" ht="14"/>
    <row r="859" s="115" customFormat="1" ht="14"/>
    <row r="860" s="115" customFormat="1" ht="14"/>
    <row r="861" s="115" customFormat="1" ht="14"/>
    <row r="862" s="115" customFormat="1" ht="14"/>
    <row r="863" s="115" customFormat="1" ht="14"/>
    <row r="864" s="115" customFormat="1" ht="14"/>
    <row r="865" s="115" customFormat="1" ht="14"/>
    <row r="866" s="115" customFormat="1" ht="14"/>
    <row r="867" s="115" customFormat="1" ht="14"/>
    <row r="868" s="115" customFormat="1" ht="14"/>
    <row r="869" s="115" customFormat="1" ht="14"/>
    <row r="870" s="115" customFormat="1" ht="14"/>
    <row r="871" s="115" customFormat="1" ht="14"/>
    <row r="872" s="115" customFormat="1" ht="14"/>
    <row r="873" s="115" customFormat="1" ht="14"/>
    <row r="874" s="115" customFormat="1" ht="14"/>
    <row r="875" s="115" customFormat="1" ht="14"/>
    <row r="876" s="115" customFormat="1" ht="14"/>
    <row r="877" s="115" customFormat="1" ht="14"/>
    <row r="878" s="115" customFormat="1" ht="14"/>
    <row r="879" s="115" customFormat="1" ht="14"/>
    <row r="880" s="115" customFormat="1" ht="14"/>
    <row r="881" s="115" customFormat="1" ht="14"/>
    <row r="882" s="115" customFormat="1" ht="14"/>
    <row r="883" s="115" customFormat="1" ht="14"/>
    <row r="884" s="115" customFormat="1" ht="14"/>
    <row r="885" s="115" customFormat="1" ht="14"/>
    <row r="886" s="115" customFormat="1" ht="14"/>
    <row r="887" s="115" customFormat="1" ht="14"/>
    <row r="888" s="115" customFormat="1" ht="14"/>
    <row r="889" s="115" customFormat="1" ht="14"/>
    <row r="890" s="115" customFormat="1" ht="14"/>
    <row r="891" s="115" customFormat="1" ht="14"/>
    <row r="892" s="115" customFormat="1" ht="14"/>
    <row r="893" s="115" customFormat="1" ht="14"/>
    <row r="894" s="115" customFormat="1" ht="14"/>
    <row r="895" s="115" customFormat="1" ht="14"/>
    <row r="896" s="115" customFormat="1" ht="14"/>
    <row r="897" s="115" customFormat="1" ht="14"/>
    <row r="898" s="115" customFormat="1" ht="14"/>
    <row r="899" s="115" customFormat="1" ht="14"/>
    <row r="900" s="115" customFormat="1" ht="14"/>
    <row r="901" s="115" customFormat="1" ht="14"/>
    <row r="902" s="115" customFormat="1" ht="14"/>
    <row r="903" s="115" customFormat="1" ht="14"/>
    <row r="904" s="115" customFormat="1" ht="14"/>
    <row r="905" s="115" customFormat="1" ht="14"/>
    <row r="906" s="115" customFormat="1" ht="14"/>
    <row r="907" s="115" customFormat="1" ht="14"/>
    <row r="908" s="115" customFormat="1" ht="14"/>
    <row r="909" s="115" customFormat="1" ht="14"/>
    <row r="910" s="115" customFormat="1" ht="14"/>
    <row r="911" s="115" customFormat="1" ht="14"/>
    <row r="912" s="115" customFormat="1" ht="14"/>
    <row r="913" s="115" customFormat="1" ht="14"/>
    <row r="914" s="115" customFormat="1" ht="14"/>
    <row r="915" s="115" customFormat="1" ht="14"/>
    <row r="916" s="115" customFormat="1" ht="14"/>
    <row r="917" s="115" customFormat="1" ht="14"/>
    <row r="918" s="115" customFormat="1" ht="14"/>
    <row r="919" s="115" customFormat="1" ht="14"/>
    <row r="920" s="115" customFormat="1" ht="14"/>
    <row r="921" s="115" customFormat="1" ht="14"/>
    <row r="922" s="115" customFormat="1" ht="14"/>
    <row r="923" s="115" customFormat="1" ht="14"/>
    <row r="924" s="115" customFormat="1" ht="14"/>
    <row r="925" s="115" customFormat="1" ht="14"/>
    <row r="926" s="115" customFormat="1" ht="14"/>
    <row r="927" s="115" customFormat="1" ht="14"/>
    <row r="928" s="115" customFormat="1" ht="14"/>
    <row r="929" s="115" customFormat="1" ht="14"/>
    <row r="930" s="115" customFormat="1" ht="14"/>
    <row r="931" s="115" customFormat="1" ht="14"/>
    <row r="932" s="115" customFormat="1" ht="14"/>
    <row r="933" s="115" customFormat="1" ht="14"/>
    <row r="934" s="115" customFormat="1" ht="14"/>
    <row r="935" s="115" customFormat="1" ht="14"/>
    <row r="936" s="115" customFormat="1" ht="14"/>
    <row r="937" s="115" customFormat="1" ht="14"/>
    <row r="938" s="115" customFormat="1" ht="14"/>
    <row r="939" s="115" customFormat="1" ht="14"/>
    <row r="940" s="115" customFormat="1" ht="14"/>
    <row r="941" s="115" customFormat="1" ht="14"/>
    <row r="942" s="115" customFormat="1" ht="14"/>
    <row r="943" s="115" customFormat="1" ht="14"/>
    <row r="944" s="115" customFormat="1" ht="14"/>
    <row r="945" s="115" customFormat="1" ht="14"/>
    <row r="946" s="115" customFormat="1" ht="14"/>
    <row r="947" s="115" customFormat="1" ht="14"/>
    <row r="948" s="115" customFormat="1" ht="14"/>
    <row r="949" s="115" customFormat="1" ht="14"/>
    <row r="950" s="115" customFormat="1" ht="14"/>
    <row r="951" s="115" customFormat="1" ht="14"/>
    <row r="952" s="115" customFormat="1" ht="14"/>
    <row r="953" s="115" customFormat="1" ht="14"/>
    <row r="954" s="115" customFormat="1" ht="14"/>
    <row r="955" s="115" customFormat="1" ht="14"/>
    <row r="956" s="115" customFormat="1" ht="14"/>
    <row r="957" s="115" customFormat="1" ht="14"/>
    <row r="958" s="115" customFormat="1" ht="14"/>
    <row r="959" s="115" customFormat="1" ht="14"/>
    <row r="960" s="115" customFormat="1" ht="14"/>
    <row r="961" s="115" customFormat="1" ht="14"/>
    <row r="962" s="115" customFormat="1" ht="14"/>
    <row r="963" s="115" customFormat="1" ht="14"/>
    <row r="964" s="115" customFormat="1" ht="14"/>
    <row r="965" s="115" customFormat="1" ht="14"/>
    <row r="966" s="115" customFormat="1" ht="14"/>
    <row r="967" s="115" customFormat="1" ht="14"/>
    <row r="968" s="115" customFormat="1" ht="14"/>
    <row r="969" s="115" customFormat="1" ht="14"/>
    <row r="970" s="115" customFormat="1" ht="14"/>
    <row r="971" s="115" customFormat="1" ht="14"/>
    <row r="972" s="115" customFormat="1" ht="14"/>
    <row r="973" s="115" customFormat="1" ht="14"/>
    <row r="974" s="115" customFormat="1" ht="14"/>
    <row r="975" s="115" customFormat="1" ht="14"/>
    <row r="976" s="115" customFormat="1" ht="14"/>
    <row r="977" s="115" customFormat="1" ht="14"/>
    <row r="978" s="115" customFormat="1" ht="14"/>
    <row r="979" s="115" customFormat="1" ht="14"/>
    <row r="980" s="115" customFormat="1" ht="14"/>
    <row r="981" s="115" customFormat="1" ht="14"/>
    <row r="982" s="115" customFormat="1" ht="14"/>
    <row r="983" s="115" customFormat="1" ht="14"/>
    <row r="984" s="115" customFormat="1" ht="14"/>
    <row r="985" s="115" customFormat="1" ht="14"/>
    <row r="986" s="115" customFormat="1" ht="14"/>
    <row r="987" s="115" customFormat="1" ht="14"/>
    <row r="988" s="115" customFormat="1" ht="14"/>
    <row r="989" s="115" customFormat="1" ht="14"/>
    <row r="990" s="115" customFormat="1" ht="14"/>
    <row r="991" s="115" customFormat="1" ht="14"/>
    <row r="992" s="115" customFormat="1" ht="14"/>
    <row r="993" s="115" customFormat="1" ht="14"/>
    <row r="994" s="115" customFormat="1" ht="14"/>
    <row r="995" s="115" customFormat="1" ht="14"/>
    <row r="996" s="115" customFormat="1" ht="14"/>
    <row r="997" s="115" customFormat="1" ht="14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C9859-A826-4016-8BC0-97B68401CF5E}">
  <sheetPr>
    <tabColor theme="8"/>
  </sheetPr>
  <dimension ref="A1:AI997"/>
  <sheetViews>
    <sheetView showGridLines="0" workbookViewId="0">
      <pane xSplit="2" topLeftCell="D1" activePane="topRight" state="frozen"/>
      <selection pane="topRight" activeCell="J20" sqref="J20"/>
    </sheetView>
  </sheetViews>
  <sheetFormatPr baseColWidth="10" defaultColWidth="12.5" defaultRowHeight="15.75" customHeight="1"/>
  <cols>
    <col min="1" max="1" width="28.1640625" style="115" customWidth="1"/>
    <col min="2" max="2" width="11.83203125" style="115" customWidth="1"/>
    <col min="3" max="3" width="17" style="115" customWidth="1"/>
    <col min="4" max="4" width="10.5" style="115" customWidth="1"/>
    <col min="5" max="5" width="8.5" style="115" customWidth="1"/>
    <col min="6" max="6" width="7.5" style="115" customWidth="1"/>
    <col min="7" max="7" width="9.5" style="115" customWidth="1"/>
    <col min="8" max="8" width="9" style="115" customWidth="1"/>
    <col min="9" max="9" width="6.83203125" style="115" customWidth="1"/>
    <col min="10" max="11" width="6.5" style="115" customWidth="1"/>
    <col min="12" max="12" width="5.83203125" style="115" customWidth="1"/>
    <col min="13" max="14" width="6.5" style="115" customWidth="1"/>
    <col min="15" max="15" width="6.1640625" style="115" customWidth="1"/>
    <col min="16" max="16" width="6.33203125" style="115" customWidth="1"/>
    <col min="17" max="20" width="6.5" style="115" customWidth="1"/>
    <col min="21" max="21" width="6.6640625" style="115" customWidth="1"/>
    <col min="22" max="22" width="6.33203125" style="115" customWidth="1"/>
    <col min="23" max="23" width="6.5" style="115" customWidth="1"/>
    <col min="24" max="24" width="9.33203125" style="115" customWidth="1"/>
    <col min="25" max="25" width="9.5" style="115" customWidth="1"/>
    <col min="26" max="26" width="9.33203125" style="115" customWidth="1"/>
    <col min="27" max="27" width="8.6640625" style="115" customWidth="1"/>
    <col min="28" max="28" width="15.33203125" style="115" customWidth="1"/>
    <col min="29" max="29" width="14" style="115" customWidth="1"/>
    <col min="30" max="30" width="7.5" style="115" customWidth="1"/>
    <col min="31" max="31" width="17.6640625" style="115" customWidth="1"/>
    <col min="32" max="35" width="7.5" style="115" customWidth="1"/>
    <col min="36" max="16384" width="12.5" style="115"/>
  </cols>
  <sheetData>
    <row r="1" spans="1:35" ht="15.75" customHeight="1">
      <c r="A1" s="107"/>
      <c r="B1" s="108"/>
      <c r="C1" s="109">
        <v>45748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116" t="s">
        <v>0</v>
      </c>
      <c r="B2" s="117"/>
      <c r="C2" s="117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9"/>
      <c r="AB2" s="120"/>
      <c r="AC2" s="114"/>
    </row>
    <row r="3" spans="1:35" ht="35.25" customHeight="1">
      <c r="A3" s="260" t="s">
        <v>1</v>
      </c>
      <c r="B3" s="260" t="s">
        <v>2</v>
      </c>
      <c r="C3" s="260" t="s">
        <v>3</v>
      </c>
      <c r="D3" s="260" t="s">
        <v>4</v>
      </c>
      <c r="E3" s="262" t="s">
        <v>5</v>
      </c>
      <c r="F3" s="263"/>
      <c r="G3" s="263"/>
      <c r="H3" s="264"/>
      <c r="I3" s="121">
        <f>C1</f>
        <v>45748</v>
      </c>
      <c r="J3" s="121">
        <f t="shared" ref="J3:W3" si="0">I3+1</f>
        <v>45749</v>
      </c>
      <c r="K3" s="121">
        <f t="shared" si="0"/>
        <v>45750</v>
      </c>
      <c r="L3" s="121">
        <f t="shared" si="0"/>
        <v>45751</v>
      </c>
      <c r="M3" s="121">
        <f t="shared" si="0"/>
        <v>45752</v>
      </c>
      <c r="N3" s="121">
        <f t="shared" si="0"/>
        <v>45753</v>
      </c>
      <c r="O3" s="121">
        <f t="shared" si="0"/>
        <v>45754</v>
      </c>
      <c r="P3" s="121">
        <f t="shared" si="0"/>
        <v>45755</v>
      </c>
      <c r="Q3" s="121">
        <f t="shared" si="0"/>
        <v>45756</v>
      </c>
      <c r="R3" s="121">
        <f t="shared" si="0"/>
        <v>45757</v>
      </c>
      <c r="S3" s="121">
        <f t="shared" si="0"/>
        <v>45758</v>
      </c>
      <c r="T3" s="121">
        <f t="shared" si="0"/>
        <v>45759</v>
      </c>
      <c r="U3" s="121">
        <f t="shared" si="0"/>
        <v>45760</v>
      </c>
      <c r="V3" s="121">
        <f t="shared" si="0"/>
        <v>45761</v>
      </c>
      <c r="W3" s="121">
        <f t="shared" si="0"/>
        <v>45762</v>
      </c>
      <c r="X3" s="260" t="s">
        <v>6</v>
      </c>
      <c r="Y3" s="260" t="s">
        <v>7</v>
      </c>
      <c r="Z3" s="120"/>
      <c r="AA3" s="114"/>
      <c r="AB3" s="114"/>
    </row>
    <row r="4" spans="1:35" ht="27" customHeight="1">
      <c r="A4" s="261"/>
      <c r="B4" s="261"/>
      <c r="C4" s="261"/>
      <c r="D4" s="261"/>
      <c r="E4" s="122" t="s">
        <v>8</v>
      </c>
      <c r="F4" s="123" t="s">
        <v>9</v>
      </c>
      <c r="G4" s="124" t="s">
        <v>10</v>
      </c>
      <c r="H4" s="125" t="s">
        <v>11</v>
      </c>
      <c r="I4" s="126" t="str">
        <f t="shared" ref="I4:W4" si="1">IF(I3="","",TEXT(WEEKDAY(I3), "ddd"))</f>
        <v>Tue</v>
      </c>
      <c r="J4" s="127" t="str">
        <f t="shared" si="1"/>
        <v>Wed</v>
      </c>
      <c r="K4" s="127" t="str">
        <f t="shared" si="1"/>
        <v>Thu</v>
      </c>
      <c r="L4" s="128" t="str">
        <f t="shared" si="1"/>
        <v>Fri</v>
      </c>
      <c r="M4" s="128" t="str">
        <f t="shared" si="1"/>
        <v>Sat</v>
      </c>
      <c r="N4" s="126" t="str">
        <f t="shared" si="1"/>
        <v>Sun</v>
      </c>
      <c r="O4" s="126" t="str">
        <f t="shared" si="1"/>
        <v>Mon</v>
      </c>
      <c r="P4" s="128" t="str">
        <f t="shared" si="1"/>
        <v>Tue</v>
      </c>
      <c r="Q4" s="128" t="str">
        <f t="shared" si="1"/>
        <v>Wed</v>
      </c>
      <c r="R4" s="128" t="str">
        <f t="shared" si="1"/>
        <v>Thu</v>
      </c>
      <c r="S4" s="128" t="str">
        <f t="shared" si="1"/>
        <v>Fri</v>
      </c>
      <c r="T4" s="128" t="str">
        <f t="shared" si="1"/>
        <v>Sat</v>
      </c>
      <c r="U4" s="128" t="str">
        <f t="shared" si="1"/>
        <v>Sun</v>
      </c>
      <c r="V4" s="128" t="str">
        <f t="shared" si="1"/>
        <v>Mon</v>
      </c>
      <c r="W4" s="128" t="str">
        <f t="shared" si="1"/>
        <v>Tue</v>
      </c>
      <c r="X4" s="261"/>
      <c r="Y4" s="261"/>
      <c r="Z4" s="120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88</v>
      </c>
      <c r="E5" s="134">
        <f t="shared" ref="E5:E10" si="3">Y5*8</f>
        <v>88</v>
      </c>
      <c r="F5" s="134">
        <f t="shared" ref="F5:F10" si="4">G5+H5</f>
        <v>88</v>
      </c>
      <c r="G5" s="134">
        <f t="shared" ref="G5:G10" si="5">SUM(I5:W5)</f>
        <v>88</v>
      </c>
      <c r="H5" s="135">
        <v>0</v>
      </c>
      <c r="I5" s="180">
        <v>8</v>
      </c>
      <c r="J5" s="180">
        <v>8</v>
      </c>
      <c r="K5" s="180">
        <v>8</v>
      </c>
      <c r="L5" s="180">
        <v>8</v>
      </c>
      <c r="M5" s="199"/>
      <c r="N5" s="199"/>
      <c r="O5" s="180">
        <v>8</v>
      </c>
      <c r="P5" s="180">
        <v>8</v>
      </c>
      <c r="Q5" s="180">
        <v>8</v>
      </c>
      <c r="R5" s="180">
        <v>8</v>
      </c>
      <c r="S5" s="180">
        <v>8</v>
      </c>
      <c r="T5" s="199"/>
      <c r="U5" s="199"/>
      <c r="V5" s="180">
        <v>8</v>
      </c>
      <c r="W5" s="180">
        <v>8</v>
      </c>
      <c r="X5" s="134">
        <f>Y5-COUNTA(I5:W5)</f>
        <v>0</v>
      </c>
      <c r="Y5" s="136">
        <v>11</v>
      </c>
      <c r="Z5" s="120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88</v>
      </c>
      <c r="E6" s="134">
        <f t="shared" si="3"/>
        <v>88</v>
      </c>
      <c r="F6" s="134">
        <f t="shared" si="4"/>
        <v>88</v>
      </c>
      <c r="G6" s="134">
        <f t="shared" si="5"/>
        <v>88</v>
      </c>
      <c r="H6" s="135">
        <v>0</v>
      </c>
      <c r="I6" s="180">
        <v>8</v>
      </c>
      <c r="J6" s="180">
        <v>8</v>
      </c>
      <c r="K6" s="180">
        <v>8</v>
      </c>
      <c r="L6" s="180">
        <v>8</v>
      </c>
      <c r="M6" s="199"/>
      <c r="N6" s="199"/>
      <c r="O6" s="180">
        <v>8</v>
      </c>
      <c r="P6" s="180">
        <v>8</v>
      </c>
      <c r="Q6" s="180">
        <v>8</v>
      </c>
      <c r="R6" s="180">
        <v>8</v>
      </c>
      <c r="S6" s="180">
        <v>8</v>
      </c>
      <c r="T6" s="199"/>
      <c r="U6" s="199"/>
      <c r="V6" s="180">
        <v>8</v>
      </c>
      <c r="W6" s="180">
        <v>8</v>
      </c>
      <c r="X6" s="134">
        <f t="shared" ref="X6:X14" si="6">Y6-COUNTA(I6:W6)</f>
        <v>0</v>
      </c>
      <c r="Y6" s="136">
        <v>11</v>
      </c>
      <c r="Z6" s="120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88</v>
      </c>
      <c r="E7" s="134">
        <f t="shared" si="3"/>
        <v>88</v>
      </c>
      <c r="F7" s="134">
        <f t="shared" si="4"/>
        <v>88</v>
      </c>
      <c r="G7" s="134">
        <f t="shared" si="5"/>
        <v>88</v>
      </c>
      <c r="H7" s="135">
        <v>0</v>
      </c>
      <c r="I7" s="180">
        <v>8</v>
      </c>
      <c r="J7" s="180">
        <v>8</v>
      </c>
      <c r="K7" s="180">
        <v>8</v>
      </c>
      <c r="L7" s="180">
        <v>8</v>
      </c>
      <c r="M7" s="199"/>
      <c r="N7" s="199"/>
      <c r="O7" s="180">
        <v>8</v>
      </c>
      <c r="P7" s="180">
        <v>8</v>
      </c>
      <c r="Q7" s="180">
        <v>8</v>
      </c>
      <c r="R7" s="180">
        <v>8</v>
      </c>
      <c r="S7" s="180">
        <v>8</v>
      </c>
      <c r="T7" s="199"/>
      <c r="U7" s="199"/>
      <c r="V7" s="180">
        <v>8</v>
      </c>
      <c r="W7" s="180">
        <v>8</v>
      </c>
      <c r="X7" s="134">
        <f t="shared" si="6"/>
        <v>0</v>
      </c>
      <c r="Y7" s="136">
        <v>11</v>
      </c>
      <c r="Z7" s="120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88</v>
      </c>
      <c r="E8" s="134">
        <f t="shared" si="3"/>
        <v>88</v>
      </c>
      <c r="F8" s="134">
        <f t="shared" si="4"/>
        <v>88</v>
      </c>
      <c r="G8" s="134">
        <f t="shared" si="5"/>
        <v>88</v>
      </c>
      <c r="H8" s="135">
        <v>0</v>
      </c>
      <c r="I8" s="180">
        <v>8</v>
      </c>
      <c r="J8" s="180">
        <v>8</v>
      </c>
      <c r="K8" s="180">
        <v>8</v>
      </c>
      <c r="L8" s="180">
        <v>8</v>
      </c>
      <c r="M8" s="199"/>
      <c r="N8" s="199"/>
      <c r="O8" s="180">
        <v>8</v>
      </c>
      <c r="P8" s="180">
        <v>8</v>
      </c>
      <c r="Q8" s="180">
        <v>8</v>
      </c>
      <c r="R8" s="180">
        <v>8</v>
      </c>
      <c r="S8" s="180">
        <v>8</v>
      </c>
      <c r="T8" s="199"/>
      <c r="U8" s="199"/>
      <c r="V8" s="180">
        <v>8</v>
      </c>
      <c r="W8" s="180">
        <v>8</v>
      </c>
      <c r="X8" s="134">
        <f t="shared" si="6"/>
        <v>0</v>
      </c>
      <c r="Y8" s="136">
        <v>11</v>
      </c>
      <c r="Z8" s="120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88</v>
      </c>
      <c r="E9" s="134">
        <f t="shared" si="3"/>
        <v>88</v>
      </c>
      <c r="F9" s="134">
        <f t="shared" si="4"/>
        <v>80</v>
      </c>
      <c r="G9" s="134">
        <f t="shared" si="5"/>
        <v>80</v>
      </c>
      <c r="H9" s="135">
        <v>0</v>
      </c>
      <c r="I9" s="180">
        <v>8</v>
      </c>
      <c r="J9" s="180">
        <v>8</v>
      </c>
      <c r="K9" s="180">
        <v>8</v>
      </c>
      <c r="L9" s="180">
        <v>8</v>
      </c>
      <c r="M9" s="199"/>
      <c r="N9" s="199"/>
      <c r="O9" s="180">
        <v>8</v>
      </c>
      <c r="P9" s="180">
        <v>8</v>
      </c>
      <c r="Q9" s="180">
        <v>8</v>
      </c>
      <c r="R9" s="180">
        <v>8</v>
      </c>
      <c r="S9" s="186"/>
      <c r="T9" s="199"/>
      <c r="U9" s="199"/>
      <c r="V9" s="180">
        <v>8</v>
      </c>
      <c r="W9" s="180">
        <v>8</v>
      </c>
      <c r="X9" s="134">
        <f t="shared" si="6"/>
        <v>1</v>
      </c>
      <c r="Y9" s="136">
        <v>11</v>
      </c>
      <c r="Z9" s="120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88</v>
      </c>
      <c r="E10" s="134">
        <f t="shared" si="3"/>
        <v>88</v>
      </c>
      <c r="F10" s="134">
        <f t="shared" si="4"/>
        <v>88</v>
      </c>
      <c r="G10" s="134">
        <f t="shared" si="5"/>
        <v>88</v>
      </c>
      <c r="H10" s="135">
        <v>0</v>
      </c>
      <c r="I10" s="180">
        <v>8</v>
      </c>
      <c r="J10" s="180">
        <v>8</v>
      </c>
      <c r="K10" s="180">
        <v>8</v>
      </c>
      <c r="L10" s="180">
        <v>8</v>
      </c>
      <c r="M10" s="199"/>
      <c r="N10" s="199"/>
      <c r="O10" s="180">
        <v>8</v>
      </c>
      <c r="P10" s="180">
        <v>8</v>
      </c>
      <c r="Q10" s="180">
        <v>8</v>
      </c>
      <c r="R10" s="180">
        <v>8</v>
      </c>
      <c r="S10" s="181">
        <v>8</v>
      </c>
      <c r="T10" s="204"/>
      <c r="U10" s="205"/>
      <c r="V10" s="180">
        <v>8</v>
      </c>
      <c r="W10" s="180">
        <v>8</v>
      </c>
      <c r="X10" s="134">
        <f t="shared" si="6"/>
        <v>0</v>
      </c>
      <c r="Y10" s="136">
        <v>11</v>
      </c>
      <c r="Z10" s="120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120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120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120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120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188"/>
      <c r="B15" s="188"/>
      <c r="C15" s="188"/>
      <c r="D15" s="189">
        <f t="shared" ref="D15:W15" si="8">SUM(D5:D14)</f>
        <v>528</v>
      </c>
      <c r="E15" s="189">
        <f t="shared" si="8"/>
        <v>528</v>
      </c>
      <c r="F15" s="189">
        <f t="shared" si="8"/>
        <v>520</v>
      </c>
      <c r="G15" s="189">
        <f t="shared" si="8"/>
        <v>520</v>
      </c>
      <c r="H15" s="189">
        <f t="shared" si="8"/>
        <v>0</v>
      </c>
      <c r="I15" s="189">
        <f t="shared" si="8"/>
        <v>48</v>
      </c>
      <c r="J15" s="189">
        <f t="shared" si="8"/>
        <v>48</v>
      </c>
      <c r="K15" s="189">
        <f t="shared" si="8"/>
        <v>48</v>
      </c>
      <c r="L15" s="189">
        <f t="shared" si="8"/>
        <v>48</v>
      </c>
      <c r="M15" s="189">
        <f t="shared" si="8"/>
        <v>0</v>
      </c>
      <c r="N15" s="189">
        <f t="shared" si="8"/>
        <v>0</v>
      </c>
      <c r="O15" s="189">
        <f t="shared" si="8"/>
        <v>48</v>
      </c>
      <c r="P15" s="189">
        <f t="shared" si="8"/>
        <v>48</v>
      </c>
      <c r="Q15" s="189">
        <f t="shared" si="8"/>
        <v>48</v>
      </c>
      <c r="R15" s="189">
        <f t="shared" si="8"/>
        <v>48</v>
      </c>
      <c r="S15" s="189">
        <f t="shared" si="8"/>
        <v>40</v>
      </c>
      <c r="T15" s="189">
        <f t="shared" si="8"/>
        <v>0</v>
      </c>
      <c r="U15" s="189">
        <f t="shared" si="8"/>
        <v>0</v>
      </c>
      <c r="V15" s="189">
        <f t="shared" si="8"/>
        <v>48</v>
      </c>
      <c r="W15" s="189">
        <f t="shared" si="8"/>
        <v>48</v>
      </c>
      <c r="X15" s="189"/>
      <c r="Y15" s="189"/>
      <c r="Z15" s="120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120"/>
      <c r="B16" s="120"/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116" t="s">
        <v>22</v>
      </c>
      <c r="B17" s="117"/>
      <c r="C17" s="117"/>
      <c r="D17" s="120"/>
      <c r="E17" s="120"/>
      <c r="F17" s="120"/>
      <c r="G17" s="120"/>
      <c r="H17" s="120"/>
      <c r="I17" s="120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14"/>
      <c r="AB17" s="120"/>
      <c r="AC17" s="114"/>
    </row>
    <row r="18" spans="1:29" ht="35.25" customHeight="1">
      <c r="A18" s="260" t="s">
        <v>1</v>
      </c>
      <c r="B18" s="260" t="s">
        <v>2</v>
      </c>
      <c r="C18" s="260" t="s">
        <v>3</v>
      </c>
      <c r="D18" s="260" t="s">
        <v>4</v>
      </c>
      <c r="E18" s="262" t="s">
        <v>5</v>
      </c>
      <c r="F18" s="263"/>
      <c r="G18" s="263"/>
      <c r="H18" s="264"/>
      <c r="I18" s="141">
        <f>W3+1</f>
        <v>45763</v>
      </c>
      <c r="J18" s="141">
        <f t="shared" ref="J18:W18" si="9">I18+1</f>
        <v>45764</v>
      </c>
      <c r="K18" s="141">
        <f t="shared" si="9"/>
        <v>45765</v>
      </c>
      <c r="L18" s="121">
        <f t="shared" si="9"/>
        <v>45766</v>
      </c>
      <c r="M18" s="141">
        <f t="shared" si="9"/>
        <v>45767</v>
      </c>
      <c r="N18" s="141">
        <f t="shared" si="9"/>
        <v>45768</v>
      </c>
      <c r="O18" s="141">
        <f t="shared" si="9"/>
        <v>45769</v>
      </c>
      <c r="P18" s="141">
        <f t="shared" si="9"/>
        <v>45770</v>
      </c>
      <c r="Q18" s="141">
        <f t="shared" si="9"/>
        <v>45771</v>
      </c>
      <c r="R18" s="141">
        <f t="shared" si="9"/>
        <v>45772</v>
      </c>
      <c r="S18" s="141">
        <f t="shared" si="9"/>
        <v>45773</v>
      </c>
      <c r="T18" s="141">
        <f t="shared" si="9"/>
        <v>45774</v>
      </c>
      <c r="U18" s="141">
        <f t="shared" si="9"/>
        <v>45775</v>
      </c>
      <c r="V18" s="141">
        <f t="shared" si="9"/>
        <v>45776</v>
      </c>
      <c r="W18" s="141">
        <f t="shared" si="9"/>
        <v>45777</v>
      </c>
      <c r="X18" s="141"/>
      <c r="Y18" s="260" t="s">
        <v>6</v>
      </c>
      <c r="Z18" s="260" t="s">
        <v>7</v>
      </c>
      <c r="AA18" s="120"/>
      <c r="AB18" s="114"/>
    </row>
    <row r="19" spans="1:29" ht="26.25" customHeight="1">
      <c r="A19" s="261"/>
      <c r="B19" s="261"/>
      <c r="C19" s="261"/>
      <c r="D19" s="261"/>
      <c r="E19" s="122" t="s">
        <v>8</v>
      </c>
      <c r="F19" s="123" t="s">
        <v>9</v>
      </c>
      <c r="G19" s="124" t="s">
        <v>10</v>
      </c>
      <c r="H19" s="124" t="s">
        <v>11</v>
      </c>
      <c r="I19" s="128" t="str">
        <f t="shared" ref="I19:W19" si="10">IF(I18="","",TEXT(WEEKDAY(I18), "ddd"))</f>
        <v>Wed</v>
      </c>
      <c r="J19" s="128" t="str">
        <f t="shared" si="10"/>
        <v>Thu</v>
      </c>
      <c r="K19" s="128" t="str">
        <f t="shared" si="10"/>
        <v>Fri</v>
      </c>
      <c r="L19" s="128" t="str">
        <f t="shared" si="10"/>
        <v>Sat</v>
      </c>
      <c r="M19" s="128" t="str">
        <f t="shared" si="10"/>
        <v>Sun</v>
      </c>
      <c r="N19" s="128" t="str">
        <f t="shared" si="10"/>
        <v>Mon</v>
      </c>
      <c r="O19" s="128" t="str">
        <f t="shared" si="10"/>
        <v>Tue</v>
      </c>
      <c r="P19" s="127" t="str">
        <f t="shared" si="10"/>
        <v>Wed</v>
      </c>
      <c r="Q19" s="127" t="str">
        <f t="shared" si="10"/>
        <v>Thu</v>
      </c>
      <c r="R19" s="128" t="str">
        <f t="shared" si="10"/>
        <v>Fri</v>
      </c>
      <c r="S19" s="128" t="str">
        <f t="shared" si="10"/>
        <v>Sat</v>
      </c>
      <c r="T19" s="128" t="str">
        <f t="shared" si="10"/>
        <v>Sun</v>
      </c>
      <c r="U19" s="128" t="str">
        <f t="shared" si="10"/>
        <v>Mon</v>
      </c>
      <c r="V19" s="128" t="str">
        <f t="shared" si="10"/>
        <v>Tue</v>
      </c>
      <c r="W19" s="127" t="str">
        <f t="shared" si="10"/>
        <v>Wed</v>
      </c>
      <c r="X19" s="127"/>
      <c r="Y19" s="261"/>
      <c r="Z19" s="261"/>
      <c r="AA19" s="120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88</v>
      </c>
      <c r="E20" s="134">
        <f t="shared" ref="E20:E25" si="12">Z20*8</f>
        <v>88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80">
        <v>8</v>
      </c>
      <c r="J20" s="186"/>
      <c r="K20" s="180">
        <v>8</v>
      </c>
      <c r="L20" s="199"/>
      <c r="M20" s="199"/>
      <c r="N20" s="180">
        <v>8</v>
      </c>
      <c r="O20" s="180">
        <v>8</v>
      </c>
      <c r="P20" s="180">
        <v>8</v>
      </c>
      <c r="Q20" s="180">
        <v>8</v>
      </c>
      <c r="R20" s="180">
        <v>8</v>
      </c>
      <c r="S20" s="199"/>
      <c r="T20" s="199"/>
      <c r="U20" s="180">
        <v>8</v>
      </c>
      <c r="V20" s="203">
        <v>8</v>
      </c>
      <c r="W20" s="180">
        <v>8</v>
      </c>
      <c r="X20" s="180"/>
      <c r="Y20" s="134">
        <f t="shared" ref="Y20:Y25" si="15">Z20-COUNTA(I20:X20)</f>
        <v>1</v>
      </c>
      <c r="Z20" s="136">
        <v>11</v>
      </c>
      <c r="AA20" s="120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88</v>
      </c>
      <c r="E21" s="134">
        <f t="shared" si="12"/>
        <v>88</v>
      </c>
      <c r="F21" s="134">
        <f t="shared" si="13"/>
        <v>88</v>
      </c>
      <c r="G21" s="134">
        <f t="shared" si="14"/>
        <v>88</v>
      </c>
      <c r="H21" s="135">
        <v>0</v>
      </c>
      <c r="I21" s="180">
        <v>8</v>
      </c>
      <c r="J21" s="180">
        <v>8</v>
      </c>
      <c r="K21" s="180">
        <v>8</v>
      </c>
      <c r="L21" s="199"/>
      <c r="M21" s="199"/>
      <c r="N21" s="180">
        <v>8</v>
      </c>
      <c r="O21" s="180">
        <v>8</v>
      </c>
      <c r="P21" s="180">
        <v>8</v>
      </c>
      <c r="Q21" s="180">
        <v>8</v>
      </c>
      <c r="R21" s="183">
        <v>8</v>
      </c>
      <c r="S21" s="199"/>
      <c r="T21" s="199"/>
      <c r="U21" s="180">
        <v>8</v>
      </c>
      <c r="V21" s="203">
        <v>8</v>
      </c>
      <c r="W21" s="180">
        <v>8</v>
      </c>
      <c r="X21" s="180"/>
      <c r="Y21" s="134">
        <f t="shared" si="15"/>
        <v>0</v>
      </c>
      <c r="Z21" s="136">
        <v>11</v>
      </c>
      <c r="AA21" s="120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88</v>
      </c>
      <c r="E22" s="134">
        <f t="shared" si="12"/>
        <v>88</v>
      </c>
      <c r="F22" s="134">
        <f t="shared" si="13"/>
        <v>88</v>
      </c>
      <c r="G22" s="134">
        <f t="shared" si="14"/>
        <v>88</v>
      </c>
      <c r="H22" s="135">
        <v>0</v>
      </c>
      <c r="I22" s="180">
        <v>8</v>
      </c>
      <c r="J22" s="180">
        <v>8</v>
      </c>
      <c r="K22" s="180">
        <v>8</v>
      </c>
      <c r="L22" s="199"/>
      <c r="M22" s="199"/>
      <c r="N22" s="180">
        <v>8</v>
      </c>
      <c r="O22" s="180">
        <v>8</v>
      </c>
      <c r="P22" s="180">
        <v>8</v>
      </c>
      <c r="Q22" s="180">
        <v>8</v>
      </c>
      <c r="R22" s="180">
        <v>8</v>
      </c>
      <c r="S22" s="199"/>
      <c r="T22" s="199"/>
      <c r="U22" s="180">
        <v>8</v>
      </c>
      <c r="V22" s="203">
        <v>8</v>
      </c>
      <c r="W22" s="180">
        <v>8</v>
      </c>
      <c r="X22" s="180"/>
      <c r="Y22" s="134">
        <f t="shared" si="15"/>
        <v>0</v>
      </c>
      <c r="Z22" s="136">
        <v>11</v>
      </c>
      <c r="AA22" s="120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88</v>
      </c>
      <c r="E23" s="134">
        <f t="shared" si="12"/>
        <v>88</v>
      </c>
      <c r="F23" s="134">
        <f t="shared" si="13"/>
        <v>72</v>
      </c>
      <c r="G23" s="134">
        <f t="shared" si="14"/>
        <v>72</v>
      </c>
      <c r="H23" s="135">
        <v>0</v>
      </c>
      <c r="I23" s="180">
        <v>8</v>
      </c>
      <c r="J23" s="186"/>
      <c r="K23" s="186"/>
      <c r="L23" s="199"/>
      <c r="M23" s="199"/>
      <c r="N23" s="180">
        <v>8</v>
      </c>
      <c r="O23" s="180">
        <v>8</v>
      </c>
      <c r="P23" s="180">
        <v>8</v>
      </c>
      <c r="Q23" s="180">
        <v>8</v>
      </c>
      <c r="R23" s="183">
        <v>8</v>
      </c>
      <c r="S23" s="199"/>
      <c r="T23" s="199"/>
      <c r="U23" s="180">
        <v>8</v>
      </c>
      <c r="V23" s="203">
        <v>8</v>
      </c>
      <c r="W23" s="180">
        <v>8</v>
      </c>
      <c r="X23" s="186"/>
      <c r="Y23" s="134">
        <f t="shared" si="15"/>
        <v>2</v>
      </c>
      <c r="Z23" s="136">
        <v>11</v>
      </c>
      <c r="AA23" s="120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88</v>
      </c>
      <c r="E24" s="134">
        <f t="shared" si="12"/>
        <v>88</v>
      </c>
      <c r="F24" s="134">
        <f t="shared" si="13"/>
        <v>88</v>
      </c>
      <c r="G24" s="134">
        <f t="shared" si="14"/>
        <v>88</v>
      </c>
      <c r="H24" s="135">
        <v>0</v>
      </c>
      <c r="I24" s="180">
        <v>8</v>
      </c>
      <c r="J24" s="180">
        <v>8</v>
      </c>
      <c r="K24" s="180">
        <v>8</v>
      </c>
      <c r="L24" s="199"/>
      <c r="M24" s="199"/>
      <c r="N24" s="180">
        <v>8</v>
      </c>
      <c r="O24" s="180">
        <v>8</v>
      </c>
      <c r="P24" s="180">
        <v>8</v>
      </c>
      <c r="Q24" s="180">
        <v>8</v>
      </c>
      <c r="R24" s="180">
        <v>8</v>
      </c>
      <c r="S24" s="199"/>
      <c r="T24" s="199"/>
      <c r="U24" s="180">
        <v>8</v>
      </c>
      <c r="V24" s="203">
        <v>8</v>
      </c>
      <c r="W24" s="180">
        <v>8</v>
      </c>
      <c r="X24" s="180"/>
      <c r="Y24" s="134">
        <f t="shared" si="15"/>
        <v>0</v>
      </c>
      <c r="Z24" s="136">
        <v>11</v>
      </c>
      <c r="AA24" s="120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88</v>
      </c>
      <c r="E25" s="134">
        <f t="shared" si="12"/>
        <v>88</v>
      </c>
      <c r="F25" s="134">
        <f t="shared" si="13"/>
        <v>80</v>
      </c>
      <c r="G25" s="134">
        <f t="shared" si="14"/>
        <v>80</v>
      </c>
      <c r="H25" s="135">
        <v>0</v>
      </c>
      <c r="I25" s="180">
        <v>8</v>
      </c>
      <c r="J25" s="180">
        <v>8</v>
      </c>
      <c r="K25" s="180">
        <v>8</v>
      </c>
      <c r="L25" s="199"/>
      <c r="M25" s="199"/>
      <c r="N25" s="183">
        <v>8</v>
      </c>
      <c r="O25" s="183">
        <v>8</v>
      </c>
      <c r="P25" s="183">
        <v>8</v>
      </c>
      <c r="Q25" s="180">
        <v>8</v>
      </c>
      <c r="R25" s="183">
        <v>8</v>
      </c>
      <c r="S25" s="200"/>
      <c r="T25" s="200"/>
      <c r="U25" s="186"/>
      <c r="V25" s="183">
        <v>8</v>
      </c>
      <c r="W25" s="180">
        <v>8</v>
      </c>
      <c r="X25" s="180"/>
      <c r="Y25" s="134">
        <f t="shared" si="15"/>
        <v>1</v>
      </c>
      <c r="Z25" s="136">
        <v>11</v>
      </c>
      <c r="AA25" s="120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120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120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120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120"/>
      <c r="AB29" s="114"/>
    </row>
    <row r="30" spans="1:29" ht="12.75" customHeight="1">
      <c r="A30" s="190"/>
      <c r="B30" s="190"/>
      <c r="C30" s="191"/>
      <c r="D30" s="189">
        <f t="shared" ref="D30:U30" si="16">SUM(D20:D29)</f>
        <v>528</v>
      </c>
      <c r="E30" s="189">
        <f t="shared" si="16"/>
        <v>528</v>
      </c>
      <c r="F30" s="189">
        <f t="shared" si="16"/>
        <v>496</v>
      </c>
      <c r="G30" s="189">
        <f t="shared" si="16"/>
        <v>496</v>
      </c>
      <c r="H30" s="189">
        <f t="shared" si="16"/>
        <v>0</v>
      </c>
      <c r="I30" s="189">
        <f t="shared" si="16"/>
        <v>48</v>
      </c>
      <c r="J30" s="189">
        <f t="shared" si="16"/>
        <v>32</v>
      </c>
      <c r="K30" s="189">
        <f t="shared" si="16"/>
        <v>40</v>
      </c>
      <c r="L30" s="189">
        <f t="shared" si="16"/>
        <v>0</v>
      </c>
      <c r="M30" s="189">
        <f t="shared" si="16"/>
        <v>0</v>
      </c>
      <c r="N30" s="189">
        <f t="shared" si="16"/>
        <v>48</v>
      </c>
      <c r="O30" s="189">
        <f t="shared" si="16"/>
        <v>48</v>
      </c>
      <c r="P30" s="189">
        <f t="shared" si="16"/>
        <v>48</v>
      </c>
      <c r="Q30" s="189">
        <f t="shared" si="16"/>
        <v>48</v>
      </c>
      <c r="R30" s="189">
        <f t="shared" si="16"/>
        <v>48</v>
      </c>
      <c r="S30" s="189">
        <f t="shared" si="16"/>
        <v>0</v>
      </c>
      <c r="T30" s="189">
        <f t="shared" si="16"/>
        <v>0</v>
      </c>
      <c r="U30" s="189">
        <f t="shared" si="16"/>
        <v>40</v>
      </c>
      <c r="V30" s="189"/>
      <c r="W30" s="189"/>
      <c r="X30" s="189"/>
      <c r="Y30" s="189"/>
      <c r="Z30" s="189"/>
      <c r="AA30" s="114"/>
      <c r="AB30" s="114"/>
    </row>
    <row r="31" spans="1:29" ht="12.75" customHeight="1">
      <c r="A31" s="143"/>
      <c r="B31" s="143"/>
      <c r="C31" s="144"/>
      <c r="D31" s="145"/>
      <c r="E31" s="146"/>
      <c r="F31" s="146"/>
      <c r="G31" s="146"/>
      <c r="H31" s="118"/>
      <c r="I31" s="147"/>
      <c r="J31" s="147"/>
      <c r="K31" s="147"/>
      <c r="L31" s="147"/>
      <c r="M31" s="147"/>
      <c r="N31" s="147"/>
      <c r="O31" s="114"/>
      <c r="P31" s="114"/>
      <c r="Q31" s="147"/>
      <c r="R31" s="147"/>
      <c r="S31" s="147"/>
      <c r="T31" s="147"/>
      <c r="U31" s="147"/>
      <c r="V31" s="147"/>
      <c r="W31" s="147"/>
      <c r="X31" s="147"/>
      <c r="Y31" s="114"/>
      <c r="Z31" s="114"/>
      <c r="AA31" s="114"/>
      <c r="AB31" s="114"/>
      <c r="AC31" s="114"/>
    </row>
    <row r="32" spans="1:29" ht="12.75" customHeight="1">
      <c r="A32" s="120"/>
      <c r="B32" s="120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114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168</v>
      </c>
      <c r="C34" s="154">
        <f t="shared" ref="C34:C39" si="17">E5+E20</f>
        <v>176</v>
      </c>
      <c r="D34" s="155">
        <f t="shared" ref="D34:D39" si="18">B34</f>
        <v>168</v>
      </c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176</v>
      </c>
      <c r="C35" s="154">
        <f t="shared" si="17"/>
        <v>176</v>
      </c>
      <c r="D35" s="155">
        <f t="shared" si="18"/>
        <v>176</v>
      </c>
      <c r="E35" s="114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176</v>
      </c>
      <c r="C36" s="154">
        <f t="shared" si="17"/>
        <v>176</v>
      </c>
      <c r="D36" s="155">
        <f t="shared" si="18"/>
        <v>176</v>
      </c>
      <c r="E36" s="114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7"/>
        <v>176</v>
      </c>
      <c r="D37" s="155">
        <f t="shared" si="18"/>
        <v>160</v>
      </c>
      <c r="E37" s="114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157" t="s">
        <v>20</v>
      </c>
      <c r="B38" s="158">
        <f>F9+F24</f>
        <v>168</v>
      </c>
      <c r="C38" s="159">
        <f t="shared" si="17"/>
        <v>176</v>
      </c>
      <c r="D38" s="160">
        <f t="shared" si="18"/>
        <v>168</v>
      </c>
      <c r="E38" s="114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168</v>
      </c>
      <c r="C39" s="159">
        <f t="shared" si="17"/>
        <v>176</v>
      </c>
      <c r="D39" s="160">
        <f t="shared" si="18"/>
        <v>168</v>
      </c>
      <c r="E39" s="114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152"/>
      <c r="B40" s="153">
        <f>G11+G26</f>
        <v>0</v>
      </c>
      <c r="C40" s="154">
        <f t="shared" ref="C40:D43" si="19">B40</f>
        <v>0</v>
      </c>
      <c r="D40" s="155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120"/>
      <c r="B45" s="120"/>
      <c r="C45" s="120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6" t="s">
        <v>0</v>
      </c>
      <c r="B46" s="257"/>
      <c r="C46" s="258"/>
      <c r="D46" s="120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120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68">
        <f>B48*8</f>
        <v>88</v>
      </c>
      <c r="D48" s="120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120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11</v>
      </c>
      <c r="C50" s="173">
        <f t="shared" si="20"/>
        <v>88</v>
      </c>
      <c r="D50" s="120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120"/>
      <c r="B51" s="120"/>
      <c r="C51" s="120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6" t="s">
        <v>22</v>
      </c>
      <c r="B53" s="257"/>
      <c r="C53" s="258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1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11</v>
      </c>
      <c r="C57" s="173">
        <f t="shared" si="22"/>
        <v>88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176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ht="14"/>
    <row r="261" ht="14"/>
    <row r="262" ht="14"/>
    <row r="263" ht="14"/>
    <row r="264" ht="14"/>
    <row r="265" ht="14"/>
    <row r="266" ht="14"/>
    <row r="267" ht="14"/>
    <row r="268" ht="14"/>
    <row r="269" ht="14"/>
    <row r="270" ht="14"/>
    <row r="271" ht="14"/>
    <row r="272" ht="14"/>
    <row r="273" ht="14"/>
    <row r="274" ht="14"/>
    <row r="275" ht="14"/>
    <row r="276" ht="14"/>
    <row r="277" ht="14"/>
    <row r="278" ht="14"/>
    <row r="279" ht="14"/>
    <row r="280" ht="14"/>
    <row r="281" ht="14"/>
    <row r="282" ht="14"/>
    <row r="283" ht="14"/>
    <row r="284" ht="14"/>
    <row r="285" ht="14"/>
    <row r="286" ht="14"/>
    <row r="287" ht="14"/>
    <row r="288" ht="14"/>
    <row r="289" ht="14"/>
    <row r="290" ht="14"/>
    <row r="291" ht="14"/>
    <row r="292" ht="14"/>
    <row r="293" ht="14"/>
    <row r="294" ht="14"/>
    <row r="295" ht="14"/>
    <row r="296" ht="14"/>
    <row r="297" ht="14"/>
    <row r="298" ht="14"/>
    <row r="299" ht="14"/>
    <row r="300" ht="14"/>
    <row r="301" ht="14"/>
    <row r="302" ht="14"/>
    <row r="303" ht="14"/>
    <row r="304" ht="14"/>
    <row r="305" ht="14"/>
    <row r="306" ht="14"/>
    <row r="307" ht="14"/>
    <row r="308" ht="14"/>
    <row r="309" ht="14"/>
    <row r="310" ht="14"/>
    <row r="311" ht="14"/>
    <row r="312" ht="14"/>
    <row r="313" ht="14"/>
    <row r="314" ht="14"/>
    <row r="315" ht="14"/>
    <row r="316" ht="14"/>
    <row r="317" ht="14"/>
    <row r="318" ht="14"/>
    <row r="319" ht="14"/>
    <row r="320" ht="14"/>
    <row r="321" ht="14"/>
    <row r="322" ht="14"/>
    <row r="323" ht="14"/>
    <row r="324" ht="14"/>
    <row r="325" ht="14"/>
    <row r="326" ht="14"/>
    <row r="327" ht="14"/>
    <row r="328" ht="14"/>
    <row r="329" ht="14"/>
    <row r="330" ht="14"/>
    <row r="331" ht="14"/>
    <row r="332" ht="14"/>
    <row r="333" ht="14"/>
    <row r="334" ht="14"/>
    <row r="335" ht="14"/>
    <row r="336" ht="14"/>
    <row r="337" ht="14"/>
    <row r="338" ht="14"/>
    <row r="339" ht="14"/>
    <row r="340" ht="14"/>
    <row r="341" ht="14"/>
    <row r="342" ht="14"/>
    <row r="343" ht="14"/>
    <row r="344" ht="14"/>
    <row r="345" ht="14"/>
    <row r="346" ht="14"/>
    <row r="347" ht="14"/>
    <row r="348" ht="14"/>
    <row r="349" ht="14"/>
    <row r="350" ht="14"/>
    <row r="351" ht="14"/>
    <row r="352" ht="14"/>
    <row r="353" ht="14"/>
    <row r="354" ht="14"/>
    <row r="355" ht="14"/>
    <row r="356" ht="14"/>
    <row r="357" ht="14"/>
    <row r="358" ht="14"/>
    <row r="359" ht="14"/>
    <row r="360" ht="14"/>
    <row r="361" ht="14"/>
    <row r="362" ht="14"/>
    <row r="363" ht="14"/>
    <row r="364" ht="14"/>
    <row r="365" ht="14"/>
    <row r="366" ht="14"/>
    <row r="367" ht="14"/>
    <row r="368" ht="14"/>
    <row r="369" ht="14"/>
    <row r="370" ht="14"/>
    <row r="371" ht="14"/>
    <row r="372" ht="14"/>
    <row r="373" ht="14"/>
    <row r="374" ht="14"/>
    <row r="375" ht="14"/>
    <row r="376" ht="14"/>
    <row r="377" ht="14"/>
    <row r="378" ht="14"/>
    <row r="379" ht="14"/>
    <row r="380" ht="14"/>
    <row r="381" ht="14"/>
    <row r="382" ht="14"/>
    <row r="383" ht="14"/>
    <row r="384" ht="14"/>
    <row r="385" ht="14"/>
    <row r="386" ht="14"/>
    <row r="387" ht="14"/>
    <row r="388" ht="14"/>
    <row r="389" ht="14"/>
    <row r="390" ht="14"/>
    <row r="391" ht="14"/>
    <row r="392" ht="14"/>
    <row r="393" ht="14"/>
    <row r="394" ht="14"/>
    <row r="395" ht="14"/>
    <row r="396" ht="14"/>
    <row r="397" ht="14"/>
    <row r="398" ht="14"/>
    <row r="399" ht="14"/>
    <row r="400" ht="14"/>
    <row r="401" ht="14"/>
    <row r="402" ht="14"/>
    <row r="403" ht="14"/>
    <row r="404" ht="14"/>
    <row r="405" ht="14"/>
    <row r="406" ht="14"/>
    <row r="407" ht="14"/>
    <row r="408" ht="14"/>
    <row r="409" ht="14"/>
    <row r="410" ht="14"/>
    <row r="411" ht="14"/>
    <row r="412" ht="14"/>
    <row r="413" ht="14"/>
    <row r="414" ht="14"/>
    <row r="415" ht="14"/>
    <row r="416" ht="14"/>
    <row r="417" ht="14"/>
    <row r="418" ht="14"/>
    <row r="419" ht="14"/>
    <row r="420" ht="14"/>
    <row r="421" ht="14"/>
    <row r="422" ht="14"/>
    <row r="423" ht="14"/>
    <row r="424" ht="14"/>
    <row r="425" ht="14"/>
    <row r="426" ht="14"/>
    <row r="427" ht="14"/>
    <row r="428" ht="14"/>
    <row r="429" ht="14"/>
    <row r="430" ht="14"/>
    <row r="431" ht="14"/>
    <row r="432" ht="14"/>
    <row r="433" ht="14"/>
    <row r="434" ht="14"/>
    <row r="435" ht="14"/>
    <row r="436" ht="14"/>
    <row r="437" ht="14"/>
    <row r="438" ht="14"/>
    <row r="439" ht="14"/>
    <row r="440" ht="14"/>
    <row r="441" ht="14"/>
    <row r="442" ht="14"/>
    <row r="443" ht="14"/>
    <row r="444" ht="14"/>
    <row r="445" ht="14"/>
    <row r="446" ht="14"/>
    <row r="447" ht="14"/>
    <row r="448" ht="14"/>
    <row r="449" ht="14"/>
    <row r="450" ht="14"/>
    <row r="451" ht="14"/>
    <row r="452" ht="14"/>
    <row r="453" ht="14"/>
    <row r="454" ht="14"/>
    <row r="455" ht="14"/>
    <row r="456" ht="14"/>
    <row r="457" ht="14"/>
    <row r="458" ht="14"/>
    <row r="459" ht="14"/>
    <row r="460" ht="14"/>
    <row r="461" ht="14"/>
    <row r="462" ht="14"/>
    <row r="463" ht="14"/>
    <row r="464" ht="14"/>
    <row r="465" ht="14"/>
    <row r="466" ht="14"/>
    <row r="467" ht="14"/>
    <row r="468" ht="14"/>
    <row r="469" ht="14"/>
    <row r="470" ht="14"/>
    <row r="471" ht="14"/>
    <row r="472" ht="14"/>
    <row r="473" ht="14"/>
    <row r="474" ht="14"/>
    <row r="475" ht="14"/>
    <row r="476" ht="14"/>
    <row r="477" ht="14"/>
    <row r="478" ht="14"/>
    <row r="479" ht="14"/>
    <row r="480" ht="14"/>
    <row r="481" ht="14"/>
    <row r="482" ht="14"/>
    <row r="483" ht="14"/>
    <row r="484" ht="14"/>
    <row r="485" ht="14"/>
    <row r="486" ht="14"/>
    <row r="487" ht="14"/>
    <row r="488" ht="14"/>
    <row r="489" ht="14"/>
    <row r="490" ht="14"/>
    <row r="491" ht="14"/>
    <row r="492" ht="14"/>
    <row r="493" ht="14"/>
    <row r="494" ht="14"/>
    <row r="495" ht="14"/>
    <row r="496" ht="14"/>
    <row r="497" ht="14"/>
    <row r="498" ht="14"/>
    <row r="499" ht="14"/>
    <row r="500" ht="14"/>
    <row r="501" ht="14"/>
    <row r="502" ht="14"/>
    <row r="503" ht="14"/>
    <row r="504" ht="14"/>
    <row r="505" ht="14"/>
    <row r="506" ht="14"/>
    <row r="507" ht="14"/>
    <row r="508" ht="14"/>
    <row r="509" ht="14"/>
    <row r="510" ht="14"/>
    <row r="511" ht="14"/>
    <row r="512" ht="14"/>
    <row r="513" ht="14"/>
    <row r="514" ht="14"/>
    <row r="515" ht="14"/>
    <row r="516" ht="14"/>
    <row r="517" ht="14"/>
    <row r="518" ht="14"/>
    <row r="519" ht="14"/>
    <row r="520" ht="14"/>
    <row r="521" ht="14"/>
    <row r="522" ht="14"/>
    <row r="523" ht="14"/>
    <row r="524" ht="14"/>
    <row r="525" ht="14"/>
    <row r="526" ht="14"/>
    <row r="527" ht="14"/>
    <row r="528" ht="14"/>
    <row r="529" ht="14"/>
    <row r="530" ht="14"/>
    <row r="531" ht="14"/>
    <row r="532" ht="14"/>
    <row r="533" ht="14"/>
    <row r="534" ht="14"/>
    <row r="535" ht="14"/>
    <row r="536" ht="14"/>
    <row r="537" ht="14"/>
    <row r="538" ht="14"/>
    <row r="539" ht="14"/>
    <row r="540" ht="14"/>
    <row r="541" ht="14"/>
    <row r="542" ht="14"/>
    <row r="543" ht="14"/>
    <row r="544" ht="14"/>
    <row r="545" ht="14"/>
    <row r="546" ht="14"/>
    <row r="547" ht="14"/>
    <row r="548" ht="14"/>
    <row r="549" ht="14"/>
    <row r="550" ht="14"/>
    <row r="551" ht="14"/>
    <row r="552" ht="14"/>
    <row r="553" ht="14"/>
    <row r="554" ht="14"/>
    <row r="555" ht="14"/>
    <row r="556" ht="14"/>
    <row r="557" ht="14"/>
    <row r="558" ht="14"/>
    <row r="559" ht="14"/>
    <row r="560" ht="14"/>
    <row r="561" ht="14"/>
    <row r="562" ht="14"/>
    <row r="563" ht="14"/>
    <row r="564" ht="14"/>
    <row r="565" ht="14"/>
    <row r="566" ht="14"/>
    <row r="567" ht="14"/>
    <row r="568" ht="14"/>
    <row r="569" ht="14"/>
    <row r="570" ht="14"/>
    <row r="571" ht="14"/>
    <row r="572" ht="14"/>
    <row r="573" ht="14"/>
    <row r="574" ht="14"/>
    <row r="575" ht="14"/>
    <row r="576" ht="14"/>
    <row r="577" ht="14"/>
    <row r="578" ht="14"/>
    <row r="579" ht="14"/>
    <row r="580" ht="14"/>
    <row r="581" ht="14"/>
    <row r="582" ht="14"/>
    <row r="583" ht="14"/>
    <row r="584" ht="14"/>
    <row r="585" ht="14"/>
    <row r="586" ht="14"/>
    <row r="587" ht="14"/>
    <row r="588" ht="14"/>
    <row r="589" ht="14"/>
    <row r="590" ht="14"/>
    <row r="591" ht="14"/>
    <row r="592" ht="14"/>
    <row r="593" ht="14"/>
    <row r="594" ht="14"/>
    <row r="595" ht="14"/>
    <row r="596" ht="14"/>
    <row r="597" ht="14"/>
    <row r="598" ht="14"/>
    <row r="599" ht="14"/>
    <row r="600" ht="14"/>
    <row r="601" ht="14"/>
    <row r="602" ht="14"/>
    <row r="603" ht="14"/>
    <row r="604" ht="14"/>
    <row r="605" ht="14"/>
    <row r="606" ht="14"/>
    <row r="607" ht="14"/>
    <row r="608" ht="14"/>
    <row r="609" ht="14"/>
    <row r="610" ht="14"/>
    <row r="611" ht="14"/>
    <row r="612" ht="14"/>
    <row r="613" ht="14"/>
    <row r="614" ht="14"/>
    <row r="615" ht="14"/>
    <row r="616" ht="14"/>
    <row r="617" ht="14"/>
    <row r="618" ht="14"/>
    <row r="619" ht="14"/>
    <row r="620" ht="14"/>
    <row r="621" ht="14"/>
    <row r="622" ht="14"/>
    <row r="623" ht="14"/>
    <row r="624" ht="14"/>
    <row r="625" ht="14"/>
    <row r="626" ht="14"/>
    <row r="627" ht="14"/>
    <row r="628" ht="14"/>
    <row r="629" ht="14"/>
    <row r="630" ht="14"/>
    <row r="631" ht="14"/>
    <row r="632" ht="14"/>
    <row r="633" ht="14"/>
    <row r="634" ht="14"/>
    <row r="635" ht="14"/>
    <row r="636" ht="14"/>
    <row r="637" ht="14"/>
    <row r="638" ht="14"/>
    <row r="639" ht="14"/>
    <row r="640" ht="14"/>
    <row r="641" ht="14"/>
    <row r="642" ht="14"/>
    <row r="643" ht="14"/>
    <row r="644" ht="14"/>
    <row r="645" ht="14"/>
    <row r="646" ht="14"/>
    <row r="647" ht="14"/>
    <row r="648" ht="14"/>
    <row r="649" ht="14"/>
    <row r="650" ht="14"/>
    <row r="651" ht="14"/>
    <row r="652" ht="14"/>
    <row r="653" ht="14"/>
    <row r="654" ht="14"/>
    <row r="655" ht="14"/>
    <row r="656" ht="14"/>
    <row r="657" ht="14"/>
    <row r="658" ht="14"/>
    <row r="659" ht="14"/>
    <row r="660" ht="14"/>
    <row r="661" ht="14"/>
    <row r="662" ht="14"/>
    <row r="663" ht="14"/>
    <row r="664" ht="14"/>
    <row r="665" ht="14"/>
    <row r="666" ht="14"/>
    <row r="667" ht="14"/>
    <row r="668" ht="14"/>
    <row r="669" ht="14"/>
    <row r="670" ht="14"/>
    <row r="671" ht="14"/>
    <row r="672" ht="14"/>
    <row r="673" ht="14"/>
    <row r="674" ht="14"/>
    <row r="675" ht="14"/>
    <row r="676" ht="14"/>
    <row r="677" ht="14"/>
    <row r="678" ht="14"/>
    <row r="679" ht="14"/>
    <row r="680" ht="14"/>
    <row r="681" ht="14"/>
    <row r="682" ht="14"/>
    <row r="683" ht="14"/>
    <row r="684" ht="14"/>
    <row r="685" ht="14"/>
    <row r="686" ht="14"/>
    <row r="687" ht="14"/>
    <row r="688" ht="14"/>
    <row r="689" ht="14"/>
    <row r="690" ht="14"/>
    <row r="691" ht="14"/>
    <row r="692" ht="14"/>
    <row r="693" ht="14"/>
    <row r="694" ht="14"/>
    <row r="695" ht="14"/>
    <row r="696" ht="14"/>
    <row r="697" ht="14"/>
    <row r="698" ht="14"/>
    <row r="699" ht="14"/>
    <row r="700" ht="14"/>
    <row r="701" ht="14"/>
    <row r="702" ht="14"/>
    <row r="703" ht="14"/>
    <row r="704" ht="14"/>
    <row r="705" ht="14"/>
    <row r="706" ht="14"/>
    <row r="707" ht="14"/>
    <row r="708" ht="14"/>
    <row r="709" ht="14"/>
    <row r="710" ht="14"/>
    <row r="711" ht="14"/>
    <row r="712" ht="14"/>
    <row r="713" ht="14"/>
    <row r="714" ht="14"/>
    <row r="715" ht="14"/>
    <row r="716" ht="14"/>
    <row r="717" ht="14"/>
    <row r="718" ht="14"/>
    <row r="719" ht="14"/>
    <row r="720" ht="14"/>
    <row r="721" ht="14"/>
    <row r="722" ht="14"/>
    <row r="723" ht="14"/>
    <row r="724" ht="14"/>
    <row r="725" ht="14"/>
    <row r="726" ht="14"/>
    <row r="727" ht="14"/>
    <row r="728" ht="14"/>
    <row r="729" ht="14"/>
    <row r="730" ht="14"/>
    <row r="731" ht="14"/>
    <row r="732" ht="14"/>
    <row r="733" ht="14"/>
    <row r="734" ht="14"/>
    <row r="735" ht="14"/>
    <row r="736" ht="14"/>
    <row r="737" ht="14"/>
    <row r="738" ht="14"/>
    <row r="739" ht="14"/>
    <row r="740" ht="14"/>
    <row r="741" ht="14"/>
    <row r="742" ht="14"/>
    <row r="743" ht="14"/>
    <row r="744" ht="14"/>
    <row r="745" ht="14"/>
    <row r="746" ht="14"/>
    <row r="747" ht="14"/>
    <row r="748" ht="14"/>
    <row r="749" ht="14"/>
    <row r="750" ht="14"/>
    <row r="751" ht="14"/>
    <row r="752" ht="14"/>
    <row r="753" ht="14"/>
    <row r="754" ht="14"/>
    <row r="755" ht="14"/>
    <row r="756" ht="14"/>
    <row r="757" ht="14"/>
    <row r="758" ht="14"/>
    <row r="759" ht="14"/>
    <row r="760" ht="14"/>
    <row r="761" ht="14"/>
    <row r="762" ht="14"/>
    <row r="763" ht="14"/>
    <row r="764" ht="14"/>
    <row r="765" ht="14"/>
    <row r="766" ht="14"/>
    <row r="767" ht="14"/>
    <row r="768" ht="14"/>
    <row r="769" ht="14"/>
    <row r="770" ht="14"/>
    <row r="771" ht="14"/>
    <row r="772" ht="14"/>
    <row r="773" ht="14"/>
    <row r="774" ht="14"/>
    <row r="775" ht="14"/>
    <row r="776" ht="14"/>
    <row r="777" ht="14"/>
    <row r="778" ht="14"/>
    <row r="779" ht="14"/>
    <row r="780" ht="14"/>
    <row r="781" ht="14"/>
    <row r="782" ht="14"/>
    <row r="783" ht="14"/>
    <row r="784" ht="14"/>
    <row r="785" ht="14"/>
    <row r="786" ht="14"/>
    <row r="787" ht="14"/>
    <row r="788" ht="14"/>
    <row r="789" ht="14"/>
    <row r="790" ht="14"/>
    <row r="791" ht="14"/>
    <row r="792" ht="14"/>
    <row r="793" ht="14"/>
    <row r="794" ht="14"/>
    <row r="795" ht="14"/>
    <row r="796" ht="14"/>
    <row r="797" ht="14"/>
    <row r="798" ht="14"/>
    <row r="799" ht="14"/>
    <row r="800" ht="14"/>
    <row r="801" ht="14"/>
    <row r="802" ht="14"/>
    <row r="803" ht="14"/>
    <row r="804" ht="14"/>
    <row r="805" ht="14"/>
    <row r="806" ht="14"/>
    <row r="807" ht="14"/>
    <row r="808" ht="14"/>
    <row r="809" ht="14"/>
    <row r="810" ht="14"/>
    <row r="811" ht="14"/>
    <row r="812" ht="14"/>
    <row r="813" ht="14"/>
    <row r="814" ht="14"/>
    <row r="815" ht="14"/>
    <row r="816" ht="14"/>
    <row r="817" ht="14"/>
    <row r="818" ht="14"/>
    <row r="819" ht="14"/>
    <row r="820" ht="14"/>
    <row r="821" ht="14"/>
    <row r="822" ht="14"/>
    <row r="823" ht="14"/>
    <row r="824" ht="14"/>
    <row r="825" ht="14"/>
    <row r="826" ht="14"/>
    <row r="827" ht="14"/>
    <row r="828" ht="14"/>
    <row r="829" ht="14"/>
    <row r="830" ht="14"/>
    <row r="831" ht="14"/>
    <row r="832" ht="14"/>
    <row r="833" ht="14"/>
    <row r="834" ht="14"/>
    <row r="835" ht="14"/>
    <row r="836" ht="14"/>
    <row r="837" ht="14"/>
    <row r="838" ht="14"/>
    <row r="839" ht="14"/>
    <row r="840" ht="14"/>
    <row r="841" ht="14"/>
    <row r="842" ht="14"/>
    <row r="843" ht="14"/>
    <row r="844" ht="14"/>
    <row r="845" ht="14"/>
    <row r="846" ht="14"/>
    <row r="847" ht="14"/>
    <row r="848" ht="14"/>
    <row r="849" ht="14"/>
    <row r="850" ht="14"/>
    <row r="851" ht="14"/>
    <row r="852" ht="14"/>
    <row r="853" ht="14"/>
    <row r="854" ht="14"/>
    <row r="855" ht="14"/>
    <row r="856" ht="14"/>
    <row r="857" ht="14"/>
    <row r="858" ht="14"/>
    <row r="859" ht="14"/>
    <row r="860" ht="14"/>
    <row r="861" ht="14"/>
    <row r="862" ht="14"/>
    <row r="863" ht="14"/>
    <row r="864" ht="14"/>
    <row r="865" ht="14"/>
    <row r="866" ht="14"/>
    <row r="867" ht="14"/>
    <row r="868" ht="14"/>
    <row r="869" ht="14"/>
    <row r="870" ht="14"/>
    <row r="871" ht="14"/>
    <row r="872" ht="14"/>
    <row r="873" ht="14"/>
    <row r="874" ht="14"/>
    <row r="875" ht="14"/>
    <row r="876" ht="14"/>
    <row r="877" ht="14"/>
    <row r="878" ht="14"/>
    <row r="879" ht="14"/>
    <row r="880" ht="14"/>
    <row r="881" ht="14"/>
    <row r="882" ht="14"/>
    <row r="883" ht="14"/>
    <row r="884" ht="14"/>
    <row r="885" ht="14"/>
    <row r="886" ht="14"/>
    <row r="887" ht="14"/>
    <row r="888" ht="14"/>
    <row r="889" ht="14"/>
    <row r="890" ht="14"/>
    <row r="891" ht="14"/>
    <row r="892" ht="14"/>
    <row r="893" ht="14"/>
    <row r="894" ht="14"/>
    <row r="895" ht="14"/>
    <row r="896" ht="14"/>
    <row r="897" ht="14"/>
    <row r="898" ht="14"/>
    <row r="899" ht="14"/>
    <row r="900" ht="14"/>
    <row r="901" ht="14"/>
    <row r="902" ht="14"/>
    <row r="903" ht="14"/>
    <row r="904" ht="14"/>
    <row r="905" ht="14"/>
    <row r="906" ht="14"/>
    <row r="907" ht="14"/>
    <row r="908" ht="14"/>
    <row r="909" ht="14"/>
    <row r="910" ht="14"/>
    <row r="911" ht="14"/>
    <row r="912" ht="14"/>
    <row r="913" ht="14"/>
    <row r="914" ht="14"/>
    <row r="915" ht="14"/>
    <row r="916" ht="14"/>
    <row r="917" ht="14"/>
    <row r="918" ht="14"/>
    <row r="919" ht="14"/>
    <row r="920" ht="14"/>
    <row r="921" ht="14"/>
    <row r="922" ht="14"/>
    <row r="923" ht="14"/>
    <row r="924" ht="14"/>
    <row r="925" ht="14"/>
    <row r="926" ht="14"/>
    <row r="927" ht="14"/>
    <row r="928" ht="14"/>
    <row r="929" ht="14"/>
    <row r="930" ht="14"/>
    <row r="931" ht="14"/>
    <row r="932" ht="14"/>
    <row r="933" ht="14"/>
    <row r="934" ht="14"/>
    <row r="935" ht="14"/>
    <row r="936" ht="14"/>
    <row r="937" ht="14"/>
    <row r="938" ht="14"/>
    <row r="939" ht="14"/>
    <row r="940" ht="14"/>
    <row r="941" ht="14"/>
    <row r="942" ht="14"/>
    <row r="943" ht="14"/>
    <row r="944" ht="14"/>
    <row r="945" ht="14"/>
    <row r="946" ht="14"/>
    <row r="947" ht="14"/>
    <row r="948" ht="14"/>
    <row r="949" ht="14"/>
    <row r="950" ht="14"/>
    <row r="951" ht="14"/>
    <row r="952" ht="14"/>
    <row r="953" ht="14"/>
    <row r="954" ht="14"/>
    <row r="955" ht="14"/>
    <row r="956" ht="14"/>
    <row r="957" ht="14"/>
    <row r="958" ht="14"/>
    <row r="959" ht="14"/>
    <row r="960" ht="14"/>
    <row r="961" ht="14"/>
    <row r="962" ht="14"/>
    <row r="963" ht="14"/>
    <row r="964" ht="14"/>
    <row r="965" ht="14"/>
    <row r="966" ht="14"/>
    <row r="967" ht="14"/>
    <row r="968" ht="14"/>
    <row r="969" ht="14"/>
    <row r="970" ht="14"/>
    <row r="971" ht="14"/>
    <row r="972" ht="14"/>
    <row r="973" ht="14"/>
    <row r="974" ht="14"/>
    <row r="975" ht="14"/>
    <row r="976" ht="14"/>
    <row r="977" ht="14"/>
    <row r="978" ht="14"/>
    <row r="979" ht="14"/>
    <row r="980" ht="14"/>
    <row r="981" ht="14"/>
    <row r="982" ht="14"/>
    <row r="983" ht="14"/>
    <row r="984" ht="14"/>
    <row r="985" ht="14"/>
    <row r="986" ht="14"/>
    <row r="987" ht="14"/>
    <row r="988" ht="14"/>
    <row r="989" ht="14"/>
    <row r="990" ht="14"/>
    <row r="991" ht="14"/>
    <row r="992" ht="14"/>
    <row r="993" ht="14"/>
    <row r="994" ht="14"/>
    <row r="995" ht="14"/>
    <row r="996" ht="14"/>
    <row r="997" ht="14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F59B8-BAEA-476B-94F6-CEE91AA08963}">
  <sheetPr>
    <tabColor theme="8"/>
  </sheetPr>
  <dimension ref="A1:AI997"/>
  <sheetViews>
    <sheetView showGridLines="0" workbookViewId="0">
      <pane xSplit="2" topLeftCell="C1" activePane="topRight" state="frozen"/>
      <selection pane="topRight" activeCell="U21" sqref="U21"/>
    </sheetView>
  </sheetViews>
  <sheetFormatPr baseColWidth="10" defaultColWidth="12.5" defaultRowHeight="15.75" customHeight="1"/>
  <cols>
    <col min="1" max="1" width="28.1640625" style="115" customWidth="1"/>
    <col min="2" max="2" width="11.83203125" style="115" customWidth="1"/>
    <col min="3" max="3" width="17" style="115" customWidth="1"/>
    <col min="4" max="4" width="10.5" style="115" customWidth="1"/>
    <col min="5" max="5" width="8.5" style="115" customWidth="1"/>
    <col min="6" max="6" width="7.5" style="115" customWidth="1"/>
    <col min="7" max="7" width="9.5" style="115" customWidth="1"/>
    <col min="8" max="8" width="9" style="115" customWidth="1"/>
    <col min="9" max="9" width="6.83203125" style="115" customWidth="1"/>
    <col min="10" max="11" width="6.5" style="115" customWidth="1"/>
    <col min="12" max="12" width="5.83203125" style="115" customWidth="1"/>
    <col min="13" max="14" width="6.5" style="115" customWidth="1"/>
    <col min="15" max="15" width="6.1640625" style="115" customWidth="1"/>
    <col min="16" max="16" width="6.33203125" style="115" customWidth="1"/>
    <col min="17" max="20" width="6.5" style="115" customWidth="1"/>
    <col min="21" max="21" width="6.6640625" style="115" customWidth="1"/>
    <col min="22" max="22" width="6.33203125" style="115" customWidth="1"/>
    <col min="23" max="23" width="6.5" style="115" customWidth="1"/>
    <col min="24" max="24" width="9.33203125" style="115" customWidth="1"/>
    <col min="25" max="25" width="9.5" style="115" customWidth="1"/>
    <col min="26" max="26" width="9.33203125" style="115" customWidth="1"/>
    <col min="27" max="27" width="8.6640625" style="115" customWidth="1"/>
    <col min="28" max="28" width="15.33203125" style="115" customWidth="1"/>
    <col min="29" max="29" width="14" style="115" customWidth="1"/>
    <col min="30" max="30" width="7.5" style="115" customWidth="1"/>
    <col min="31" max="31" width="17.6640625" style="115" customWidth="1"/>
    <col min="32" max="35" width="7.5" style="115" customWidth="1"/>
    <col min="36" max="16384" width="12.5" style="115"/>
  </cols>
  <sheetData>
    <row r="1" spans="1:35" ht="15.75" customHeight="1">
      <c r="A1" s="107"/>
      <c r="B1" s="108"/>
      <c r="C1" s="109">
        <v>45717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116" t="s">
        <v>0</v>
      </c>
      <c r="B2" s="117"/>
      <c r="C2" s="117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9"/>
      <c r="AB2" s="120"/>
      <c r="AC2" s="114"/>
    </row>
    <row r="3" spans="1:35" ht="35.25" customHeight="1">
      <c r="A3" s="260" t="s">
        <v>1</v>
      </c>
      <c r="B3" s="260" t="s">
        <v>2</v>
      </c>
      <c r="C3" s="260" t="s">
        <v>3</v>
      </c>
      <c r="D3" s="260" t="s">
        <v>4</v>
      </c>
      <c r="E3" s="262" t="s">
        <v>5</v>
      </c>
      <c r="F3" s="263"/>
      <c r="G3" s="263"/>
      <c r="H3" s="264"/>
      <c r="I3" s="121">
        <f>C1</f>
        <v>45717</v>
      </c>
      <c r="J3" s="121">
        <f t="shared" ref="J3:W3" si="0">I3+1</f>
        <v>45718</v>
      </c>
      <c r="K3" s="121">
        <f t="shared" si="0"/>
        <v>45719</v>
      </c>
      <c r="L3" s="121">
        <f t="shared" si="0"/>
        <v>45720</v>
      </c>
      <c r="M3" s="121">
        <f t="shared" si="0"/>
        <v>45721</v>
      </c>
      <c r="N3" s="121">
        <f t="shared" si="0"/>
        <v>45722</v>
      </c>
      <c r="O3" s="121">
        <f t="shared" si="0"/>
        <v>45723</v>
      </c>
      <c r="P3" s="121">
        <f t="shared" si="0"/>
        <v>45724</v>
      </c>
      <c r="Q3" s="121">
        <f t="shared" si="0"/>
        <v>45725</v>
      </c>
      <c r="R3" s="121">
        <f t="shared" si="0"/>
        <v>45726</v>
      </c>
      <c r="S3" s="121">
        <f t="shared" si="0"/>
        <v>45727</v>
      </c>
      <c r="T3" s="121">
        <f t="shared" si="0"/>
        <v>45728</v>
      </c>
      <c r="U3" s="121">
        <f t="shared" si="0"/>
        <v>45729</v>
      </c>
      <c r="V3" s="121">
        <f t="shared" si="0"/>
        <v>45730</v>
      </c>
      <c r="W3" s="121">
        <f t="shared" si="0"/>
        <v>45731</v>
      </c>
      <c r="X3" s="260" t="s">
        <v>6</v>
      </c>
      <c r="Y3" s="260" t="s">
        <v>7</v>
      </c>
      <c r="Z3" s="120"/>
      <c r="AA3" s="114"/>
      <c r="AB3" s="114"/>
    </row>
    <row r="4" spans="1:35" ht="27" customHeight="1">
      <c r="A4" s="261"/>
      <c r="B4" s="261"/>
      <c r="C4" s="261"/>
      <c r="D4" s="261"/>
      <c r="E4" s="122" t="s">
        <v>8</v>
      </c>
      <c r="F4" s="123" t="s">
        <v>9</v>
      </c>
      <c r="G4" s="124" t="s">
        <v>10</v>
      </c>
      <c r="H4" s="125" t="s">
        <v>11</v>
      </c>
      <c r="I4" s="126" t="str">
        <f t="shared" ref="I4:W4" si="1">IF(I3="","",TEXT(WEEKDAY(I3), "ddd"))</f>
        <v>Sat</v>
      </c>
      <c r="J4" s="127" t="str">
        <f t="shared" si="1"/>
        <v>Sun</v>
      </c>
      <c r="K4" s="127" t="str">
        <f t="shared" si="1"/>
        <v>Mon</v>
      </c>
      <c r="L4" s="128" t="str">
        <f t="shared" si="1"/>
        <v>Tue</v>
      </c>
      <c r="M4" s="128" t="str">
        <f t="shared" si="1"/>
        <v>Wed</v>
      </c>
      <c r="N4" s="126" t="str">
        <f t="shared" si="1"/>
        <v>Thu</v>
      </c>
      <c r="O4" s="126" t="str">
        <f t="shared" si="1"/>
        <v>Fri</v>
      </c>
      <c r="P4" s="128" t="str">
        <f t="shared" si="1"/>
        <v>Sat</v>
      </c>
      <c r="Q4" s="128" t="str">
        <f t="shared" si="1"/>
        <v>Sun</v>
      </c>
      <c r="R4" s="128" t="str">
        <f t="shared" si="1"/>
        <v>Mon</v>
      </c>
      <c r="S4" s="128" t="str">
        <f t="shared" si="1"/>
        <v>Tue</v>
      </c>
      <c r="T4" s="128" t="str">
        <f t="shared" si="1"/>
        <v>Wed</v>
      </c>
      <c r="U4" s="128" t="str">
        <f t="shared" si="1"/>
        <v>Thu</v>
      </c>
      <c r="V4" s="128" t="str">
        <f t="shared" si="1"/>
        <v>Fri</v>
      </c>
      <c r="W4" s="128" t="str">
        <f t="shared" si="1"/>
        <v>Sat</v>
      </c>
      <c r="X4" s="261"/>
      <c r="Y4" s="261"/>
      <c r="Z4" s="120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 t="shared" ref="G5:G10" si="5">SUM(I5:W5)</f>
        <v>80</v>
      </c>
      <c r="H5" s="135">
        <v>0</v>
      </c>
      <c r="I5" s="199"/>
      <c r="J5" s="199"/>
      <c r="K5" s="180">
        <v>8</v>
      </c>
      <c r="L5" s="180">
        <v>8</v>
      </c>
      <c r="M5" s="180">
        <v>8</v>
      </c>
      <c r="N5" s="180">
        <v>8</v>
      </c>
      <c r="O5" s="180">
        <v>8</v>
      </c>
      <c r="P5" s="199"/>
      <c r="Q5" s="199"/>
      <c r="R5" s="180">
        <v>8</v>
      </c>
      <c r="S5" s="180">
        <v>8</v>
      </c>
      <c r="T5" s="180">
        <v>8</v>
      </c>
      <c r="U5" s="180">
        <v>8</v>
      </c>
      <c r="V5" s="180">
        <v>8</v>
      </c>
      <c r="W5" s="199"/>
      <c r="X5" s="134">
        <f>Y5-COUNTA(I5:W5)</f>
        <v>0</v>
      </c>
      <c r="Y5" s="136">
        <v>10</v>
      </c>
      <c r="Z5" s="120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80</v>
      </c>
      <c r="G6" s="134">
        <f t="shared" si="5"/>
        <v>80</v>
      </c>
      <c r="H6" s="135">
        <v>0</v>
      </c>
      <c r="I6" s="199"/>
      <c r="J6" s="199"/>
      <c r="K6" s="180">
        <v>8</v>
      </c>
      <c r="L6" s="180">
        <v>8</v>
      </c>
      <c r="M6" s="180">
        <v>8</v>
      </c>
      <c r="N6" s="180">
        <v>8</v>
      </c>
      <c r="O6" s="180">
        <v>8</v>
      </c>
      <c r="P6" s="199"/>
      <c r="Q6" s="199"/>
      <c r="R6" s="180">
        <v>8</v>
      </c>
      <c r="S6" s="180">
        <v>8</v>
      </c>
      <c r="T6" s="180">
        <v>8</v>
      </c>
      <c r="U6" s="180">
        <v>8</v>
      </c>
      <c r="V6" s="180">
        <v>8</v>
      </c>
      <c r="W6" s="199"/>
      <c r="X6" s="134">
        <f t="shared" ref="X6:X14" si="6">Y6-COUNTA(I6:W6)</f>
        <v>0</v>
      </c>
      <c r="Y6" s="136">
        <v>10</v>
      </c>
      <c r="Z6" s="120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199"/>
      <c r="J7" s="199"/>
      <c r="K7" s="180">
        <v>8</v>
      </c>
      <c r="L7" s="180">
        <v>8</v>
      </c>
      <c r="M7" s="180">
        <v>8</v>
      </c>
      <c r="N7" s="180">
        <v>8</v>
      </c>
      <c r="O7" s="180">
        <v>8</v>
      </c>
      <c r="P7" s="199"/>
      <c r="Q7" s="199"/>
      <c r="R7" s="186"/>
      <c r="S7" s="180">
        <v>8</v>
      </c>
      <c r="T7" s="180">
        <v>8</v>
      </c>
      <c r="U7" s="180">
        <v>8</v>
      </c>
      <c r="V7" s="180">
        <v>8</v>
      </c>
      <c r="W7" s="199"/>
      <c r="X7" s="134">
        <f t="shared" si="6"/>
        <v>1</v>
      </c>
      <c r="Y7" s="136">
        <v>10</v>
      </c>
      <c r="Z7" s="120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199"/>
      <c r="J8" s="199"/>
      <c r="K8" s="180">
        <v>8</v>
      </c>
      <c r="L8" s="180">
        <v>8</v>
      </c>
      <c r="M8" s="180">
        <v>8</v>
      </c>
      <c r="N8" s="180">
        <v>8</v>
      </c>
      <c r="O8" s="180">
        <v>8</v>
      </c>
      <c r="P8" s="199"/>
      <c r="Q8" s="199"/>
      <c r="R8" s="180">
        <v>8</v>
      </c>
      <c r="S8" s="180">
        <v>8</v>
      </c>
      <c r="T8" s="180">
        <v>8</v>
      </c>
      <c r="U8" s="180">
        <v>8</v>
      </c>
      <c r="V8" s="180">
        <v>8</v>
      </c>
      <c r="W8" s="199"/>
      <c r="X8" s="134">
        <f t="shared" si="6"/>
        <v>0</v>
      </c>
      <c r="Y8" s="136">
        <v>10</v>
      </c>
      <c r="Z8" s="120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80</v>
      </c>
      <c r="G9" s="134">
        <f t="shared" si="5"/>
        <v>80</v>
      </c>
      <c r="H9" s="135">
        <v>0</v>
      </c>
      <c r="I9" s="199"/>
      <c r="J9" s="199"/>
      <c r="K9" s="180">
        <v>8</v>
      </c>
      <c r="L9" s="180">
        <v>8</v>
      </c>
      <c r="M9" s="180">
        <v>8</v>
      </c>
      <c r="N9" s="180">
        <v>8</v>
      </c>
      <c r="O9" s="180">
        <v>8</v>
      </c>
      <c r="P9" s="199"/>
      <c r="Q9" s="199"/>
      <c r="R9" s="180">
        <v>8</v>
      </c>
      <c r="S9" s="180">
        <v>8</v>
      </c>
      <c r="T9" s="180">
        <v>8</v>
      </c>
      <c r="U9" s="180">
        <v>8</v>
      </c>
      <c r="V9" s="180">
        <v>8</v>
      </c>
      <c r="W9" s="199"/>
      <c r="X9" s="134">
        <f t="shared" si="6"/>
        <v>0</v>
      </c>
      <c r="Y9" s="136">
        <v>10</v>
      </c>
      <c r="Z9" s="120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80</v>
      </c>
      <c r="G10" s="134">
        <f t="shared" si="5"/>
        <v>80</v>
      </c>
      <c r="H10" s="135">
        <v>0</v>
      </c>
      <c r="I10" s="199"/>
      <c r="J10" s="199"/>
      <c r="K10" s="180">
        <v>8</v>
      </c>
      <c r="L10" s="180">
        <v>8</v>
      </c>
      <c r="M10" s="180">
        <v>8</v>
      </c>
      <c r="N10" s="180">
        <v>8</v>
      </c>
      <c r="O10" s="180">
        <v>8</v>
      </c>
      <c r="P10" s="199"/>
      <c r="Q10" s="199"/>
      <c r="R10" s="180">
        <v>8</v>
      </c>
      <c r="S10" s="181">
        <v>8</v>
      </c>
      <c r="T10" s="187">
        <v>8</v>
      </c>
      <c r="U10" s="182">
        <v>8</v>
      </c>
      <c r="V10" s="180">
        <v>8</v>
      </c>
      <c r="W10" s="199"/>
      <c r="X10" s="134">
        <f t="shared" si="6"/>
        <v>0</v>
      </c>
      <c r="Y10" s="136">
        <v>10</v>
      </c>
      <c r="Z10" s="120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120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120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120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120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188"/>
      <c r="B15" s="188"/>
      <c r="C15" s="188"/>
      <c r="D15" s="189">
        <f t="shared" ref="D15:W15" si="8">SUM(D5:D14)</f>
        <v>480</v>
      </c>
      <c r="E15" s="189">
        <f t="shared" si="8"/>
        <v>480</v>
      </c>
      <c r="F15" s="189">
        <f t="shared" si="8"/>
        <v>472</v>
      </c>
      <c r="G15" s="189">
        <f t="shared" si="8"/>
        <v>472</v>
      </c>
      <c r="H15" s="189">
        <f t="shared" si="8"/>
        <v>0</v>
      </c>
      <c r="I15" s="189">
        <f t="shared" si="8"/>
        <v>0</v>
      </c>
      <c r="J15" s="189">
        <f t="shared" si="8"/>
        <v>0</v>
      </c>
      <c r="K15" s="189">
        <f t="shared" si="8"/>
        <v>48</v>
      </c>
      <c r="L15" s="189">
        <f t="shared" si="8"/>
        <v>48</v>
      </c>
      <c r="M15" s="189">
        <f t="shared" si="8"/>
        <v>48</v>
      </c>
      <c r="N15" s="189">
        <f t="shared" si="8"/>
        <v>48</v>
      </c>
      <c r="O15" s="189">
        <f t="shared" si="8"/>
        <v>48</v>
      </c>
      <c r="P15" s="189">
        <f t="shared" si="8"/>
        <v>0</v>
      </c>
      <c r="Q15" s="189">
        <f t="shared" si="8"/>
        <v>0</v>
      </c>
      <c r="R15" s="189">
        <f t="shared" si="8"/>
        <v>40</v>
      </c>
      <c r="S15" s="189">
        <f t="shared" si="8"/>
        <v>48</v>
      </c>
      <c r="T15" s="189">
        <f t="shared" si="8"/>
        <v>48</v>
      </c>
      <c r="U15" s="189">
        <f t="shared" si="8"/>
        <v>48</v>
      </c>
      <c r="V15" s="189">
        <f t="shared" si="8"/>
        <v>48</v>
      </c>
      <c r="W15" s="189">
        <f t="shared" si="8"/>
        <v>0</v>
      </c>
      <c r="X15" s="189"/>
      <c r="Y15" s="189"/>
      <c r="Z15" s="120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120"/>
      <c r="B16" s="120"/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116" t="s">
        <v>22</v>
      </c>
      <c r="B17" s="117"/>
      <c r="C17" s="117"/>
      <c r="D17" s="120"/>
      <c r="E17" s="120"/>
      <c r="F17" s="120"/>
      <c r="G17" s="120"/>
      <c r="H17" s="120"/>
      <c r="I17" s="120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14"/>
      <c r="AB17" s="120"/>
      <c r="AC17" s="114"/>
    </row>
    <row r="18" spans="1:29" ht="35.25" customHeight="1">
      <c r="A18" s="260" t="s">
        <v>1</v>
      </c>
      <c r="B18" s="260" t="s">
        <v>2</v>
      </c>
      <c r="C18" s="260" t="s">
        <v>3</v>
      </c>
      <c r="D18" s="260" t="s">
        <v>4</v>
      </c>
      <c r="E18" s="262" t="s">
        <v>5</v>
      </c>
      <c r="F18" s="263"/>
      <c r="G18" s="263"/>
      <c r="H18" s="264"/>
      <c r="I18" s="141">
        <f>W3+1</f>
        <v>45732</v>
      </c>
      <c r="J18" s="141">
        <f t="shared" ref="J18:X18" si="9">I18+1</f>
        <v>45733</v>
      </c>
      <c r="K18" s="141">
        <f t="shared" si="9"/>
        <v>45734</v>
      </c>
      <c r="L18" s="121">
        <f t="shared" si="9"/>
        <v>45735</v>
      </c>
      <c r="M18" s="141">
        <f t="shared" si="9"/>
        <v>45736</v>
      </c>
      <c r="N18" s="141">
        <f t="shared" si="9"/>
        <v>45737</v>
      </c>
      <c r="O18" s="141">
        <f t="shared" si="9"/>
        <v>45738</v>
      </c>
      <c r="P18" s="141">
        <f t="shared" si="9"/>
        <v>45739</v>
      </c>
      <c r="Q18" s="141">
        <f t="shared" si="9"/>
        <v>45740</v>
      </c>
      <c r="R18" s="141">
        <f t="shared" si="9"/>
        <v>45741</v>
      </c>
      <c r="S18" s="141">
        <f t="shared" si="9"/>
        <v>45742</v>
      </c>
      <c r="T18" s="141">
        <f t="shared" si="9"/>
        <v>45743</v>
      </c>
      <c r="U18" s="141">
        <f t="shared" si="9"/>
        <v>45744</v>
      </c>
      <c r="V18" s="141">
        <f t="shared" si="9"/>
        <v>45745</v>
      </c>
      <c r="W18" s="141">
        <f t="shared" si="9"/>
        <v>45746</v>
      </c>
      <c r="X18" s="141">
        <f t="shared" si="9"/>
        <v>45747</v>
      </c>
      <c r="Y18" s="260" t="s">
        <v>6</v>
      </c>
      <c r="Z18" s="260" t="s">
        <v>7</v>
      </c>
      <c r="AA18" s="120"/>
      <c r="AB18" s="114"/>
    </row>
    <row r="19" spans="1:29" ht="26.25" customHeight="1">
      <c r="A19" s="261"/>
      <c r="B19" s="261"/>
      <c r="C19" s="261"/>
      <c r="D19" s="261"/>
      <c r="E19" s="122" t="s">
        <v>8</v>
      </c>
      <c r="F19" s="123" t="s">
        <v>9</v>
      </c>
      <c r="G19" s="124" t="s">
        <v>10</v>
      </c>
      <c r="H19" s="124" t="s">
        <v>11</v>
      </c>
      <c r="I19" s="128" t="str">
        <f t="shared" ref="I19:X19" si="10">IF(I18="","",TEXT(WEEKDAY(I18), "ddd"))</f>
        <v>Sun</v>
      </c>
      <c r="J19" s="128" t="str">
        <f t="shared" si="10"/>
        <v>Mon</v>
      </c>
      <c r="K19" s="128" t="str">
        <f t="shared" si="10"/>
        <v>Tue</v>
      </c>
      <c r="L19" s="128" t="str">
        <f t="shared" si="10"/>
        <v>Wed</v>
      </c>
      <c r="M19" s="128" t="str">
        <f t="shared" si="10"/>
        <v>Thu</v>
      </c>
      <c r="N19" s="128" t="str">
        <f t="shared" si="10"/>
        <v>Fri</v>
      </c>
      <c r="O19" s="128" t="str">
        <f t="shared" si="10"/>
        <v>Sat</v>
      </c>
      <c r="P19" s="127" t="str">
        <f t="shared" si="10"/>
        <v>Sun</v>
      </c>
      <c r="Q19" s="127" t="str">
        <f t="shared" si="10"/>
        <v>Mon</v>
      </c>
      <c r="R19" s="128" t="str">
        <f t="shared" si="10"/>
        <v>Tue</v>
      </c>
      <c r="S19" s="128" t="str">
        <f t="shared" si="10"/>
        <v>Wed</v>
      </c>
      <c r="T19" s="128" t="str">
        <f t="shared" si="10"/>
        <v>Thu</v>
      </c>
      <c r="U19" s="128" t="str">
        <f t="shared" si="10"/>
        <v>Fri</v>
      </c>
      <c r="V19" s="128" t="str">
        <f t="shared" si="10"/>
        <v>Sat</v>
      </c>
      <c r="W19" s="127" t="str">
        <f t="shared" si="10"/>
        <v>Sun</v>
      </c>
      <c r="X19" s="127" t="str">
        <f t="shared" si="10"/>
        <v>Mon</v>
      </c>
      <c r="Y19" s="261"/>
      <c r="Z19" s="261"/>
      <c r="AA19" s="120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80</v>
      </c>
      <c r="E20" s="134">
        <f t="shared" ref="E20:E25" si="12">Z20*8</f>
        <v>80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99"/>
      <c r="J20" s="180">
        <v>8</v>
      </c>
      <c r="K20" s="180">
        <v>8</v>
      </c>
      <c r="L20" s="180">
        <v>8</v>
      </c>
      <c r="M20" s="180">
        <v>8</v>
      </c>
      <c r="N20" s="180">
        <v>8</v>
      </c>
      <c r="O20" s="199"/>
      <c r="P20" s="199"/>
      <c r="Q20" s="180">
        <v>8</v>
      </c>
      <c r="R20" s="180">
        <v>8</v>
      </c>
      <c r="S20" s="180">
        <v>8</v>
      </c>
      <c r="T20" s="180">
        <v>8</v>
      </c>
      <c r="U20" s="180">
        <v>8</v>
      </c>
      <c r="V20" s="201"/>
      <c r="W20" s="199"/>
      <c r="X20" s="185"/>
      <c r="Y20" s="134">
        <f t="shared" ref="Y20:Y25" si="15">Z20-COUNTA(I20:X20)</f>
        <v>0</v>
      </c>
      <c r="Z20" s="136">
        <v>10</v>
      </c>
      <c r="AA20" s="120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80</v>
      </c>
      <c r="E21" s="134">
        <f t="shared" si="12"/>
        <v>80</v>
      </c>
      <c r="F21" s="134">
        <f t="shared" si="13"/>
        <v>64</v>
      </c>
      <c r="G21" s="134">
        <f t="shared" si="14"/>
        <v>64</v>
      </c>
      <c r="H21" s="135">
        <v>0</v>
      </c>
      <c r="I21" s="199"/>
      <c r="J21" s="180">
        <v>8</v>
      </c>
      <c r="K21" s="180">
        <v>8</v>
      </c>
      <c r="L21" s="180">
        <v>8</v>
      </c>
      <c r="M21" s="180">
        <v>8</v>
      </c>
      <c r="N21" s="180">
        <v>8</v>
      </c>
      <c r="O21" s="199"/>
      <c r="P21" s="199"/>
      <c r="Q21" s="180">
        <v>8</v>
      </c>
      <c r="R21" s="183">
        <v>8</v>
      </c>
      <c r="S21" s="180">
        <v>8</v>
      </c>
      <c r="T21" s="186"/>
      <c r="U21" s="186"/>
      <c r="V21" s="201"/>
      <c r="W21" s="199"/>
      <c r="X21" s="185"/>
      <c r="Y21" s="134">
        <f t="shared" si="15"/>
        <v>2</v>
      </c>
      <c r="Z21" s="136">
        <v>10</v>
      </c>
      <c r="AA21" s="120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80</v>
      </c>
      <c r="E22" s="134">
        <f t="shared" si="12"/>
        <v>80</v>
      </c>
      <c r="F22" s="134">
        <f t="shared" si="13"/>
        <v>72</v>
      </c>
      <c r="G22" s="134">
        <f t="shared" si="14"/>
        <v>72</v>
      </c>
      <c r="H22" s="135">
        <v>0</v>
      </c>
      <c r="I22" s="199"/>
      <c r="J22" s="180">
        <v>8</v>
      </c>
      <c r="K22" s="186"/>
      <c r="L22" s="180">
        <v>8</v>
      </c>
      <c r="M22" s="180">
        <v>8</v>
      </c>
      <c r="N22" s="180">
        <v>8</v>
      </c>
      <c r="O22" s="199"/>
      <c r="P22" s="199"/>
      <c r="Q22" s="180">
        <v>8</v>
      </c>
      <c r="R22" s="180">
        <v>8</v>
      </c>
      <c r="S22" s="180">
        <v>8</v>
      </c>
      <c r="T22" s="180">
        <v>8</v>
      </c>
      <c r="U22" s="180">
        <v>8</v>
      </c>
      <c r="V22" s="201"/>
      <c r="W22" s="199"/>
      <c r="X22" s="185"/>
      <c r="Y22" s="134">
        <f t="shared" si="15"/>
        <v>1</v>
      </c>
      <c r="Z22" s="136">
        <v>10</v>
      </c>
      <c r="AA22" s="120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80</v>
      </c>
      <c r="E23" s="134">
        <f t="shared" si="12"/>
        <v>80</v>
      </c>
      <c r="F23" s="134">
        <f t="shared" si="13"/>
        <v>80</v>
      </c>
      <c r="G23" s="134">
        <f t="shared" si="14"/>
        <v>80</v>
      </c>
      <c r="H23" s="135">
        <v>0</v>
      </c>
      <c r="I23" s="199"/>
      <c r="J23" s="180">
        <v>8</v>
      </c>
      <c r="K23" s="180">
        <v>8</v>
      </c>
      <c r="L23" s="180">
        <v>8</v>
      </c>
      <c r="M23" s="180">
        <v>8</v>
      </c>
      <c r="N23" s="180">
        <v>8</v>
      </c>
      <c r="O23" s="199"/>
      <c r="P23" s="199"/>
      <c r="Q23" s="180">
        <v>8</v>
      </c>
      <c r="R23" s="183">
        <v>8</v>
      </c>
      <c r="S23" s="180">
        <v>8</v>
      </c>
      <c r="T23" s="180">
        <v>8</v>
      </c>
      <c r="U23" s="180">
        <v>8</v>
      </c>
      <c r="V23" s="201"/>
      <c r="W23" s="199"/>
      <c r="X23" s="185"/>
      <c r="Y23" s="134">
        <f t="shared" si="15"/>
        <v>0</v>
      </c>
      <c r="Z23" s="136">
        <v>10</v>
      </c>
      <c r="AA23" s="120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80</v>
      </c>
      <c r="E24" s="134">
        <f t="shared" si="12"/>
        <v>80</v>
      </c>
      <c r="F24" s="134">
        <f t="shared" si="13"/>
        <v>64</v>
      </c>
      <c r="G24" s="134">
        <f t="shared" si="14"/>
        <v>64</v>
      </c>
      <c r="H24" s="135">
        <v>0</v>
      </c>
      <c r="I24" s="199"/>
      <c r="J24" s="180">
        <v>8</v>
      </c>
      <c r="K24" s="180">
        <v>8</v>
      </c>
      <c r="L24" s="180">
        <v>8</v>
      </c>
      <c r="M24" s="186"/>
      <c r="N24" s="186"/>
      <c r="O24" s="199"/>
      <c r="P24" s="199"/>
      <c r="Q24" s="180">
        <v>8</v>
      </c>
      <c r="R24" s="180">
        <v>8</v>
      </c>
      <c r="S24" s="180">
        <v>8</v>
      </c>
      <c r="T24" s="180">
        <v>8</v>
      </c>
      <c r="U24" s="180">
        <v>8</v>
      </c>
      <c r="V24" s="201"/>
      <c r="W24" s="199"/>
      <c r="X24" s="185"/>
      <c r="Y24" s="134">
        <f t="shared" si="15"/>
        <v>2</v>
      </c>
      <c r="Z24" s="136">
        <v>10</v>
      </c>
      <c r="AA24" s="120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80</v>
      </c>
      <c r="E25" s="134">
        <f t="shared" si="12"/>
        <v>80</v>
      </c>
      <c r="F25" s="134">
        <f t="shared" si="13"/>
        <v>56</v>
      </c>
      <c r="G25" s="134">
        <f t="shared" si="14"/>
        <v>56</v>
      </c>
      <c r="H25" s="135">
        <v>0</v>
      </c>
      <c r="I25" s="199"/>
      <c r="J25" s="186"/>
      <c r="K25" s="186"/>
      <c r="L25" s="180">
        <v>8</v>
      </c>
      <c r="M25" s="180">
        <v>8</v>
      </c>
      <c r="N25" s="183">
        <v>8</v>
      </c>
      <c r="O25" s="200"/>
      <c r="P25" s="200"/>
      <c r="Q25" s="186"/>
      <c r="R25" s="183">
        <v>8</v>
      </c>
      <c r="S25" s="183">
        <v>8</v>
      </c>
      <c r="T25" s="183">
        <v>8</v>
      </c>
      <c r="U25" s="183">
        <v>8</v>
      </c>
      <c r="V25" s="200"/>
      <c r="W25" s="199"/>
      <c r="X25" s="185"/>
      <c r="Y25" s="134">
        <f t="shared" si="15"/>
        <v>3</v>
      </c>
      <c r="Z25" s="136">
        <v>10</v>
      </c>
      <c r="AA25" s="120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120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120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120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120"/>
      <c r="AB29" s="114"/>
    </row>
    <row r="30" spans="1:29" ht="12.75" customHeight="1">
      <c r="A30" s="190"/>
      <c r="B30" s="190"/>
      <c r="C30" s="191"/>
      <c r="D30" s="189">
        <f t="shared" ref="D30:U30" si="16">SUM(D20:D29)</f>
        <v>480</v>
      </c>
      <c r="E30" s="189">
        <f t="shared" si="16"/>
        <v>480</v>
      </c>
      <c r="F30" s="189">
        <f t="shared" si="16"/>
        <v>416</v>
      </c>
      <c r="G30" s="189">
        <f t="shared" si="16"/>
        <v>416</v>
      </c>
      <c r="H30" s="189">
        <f t="shared" si="16"/>
        <v>0</v>
      </c>
      <c r="I30" s="189">
        <f t="shared" si="16"/>
        <v>0</v>
      </c>
      <c r="J30" s="189">
        <f t="shared" si="16"/>
        <v>40</v>
      </c>
      <c r="K30" s="189">
        <f t="shared" si="16"/>
        <v>32</v>
      </c>
      <c r="L30" s="189">
        <f t="shared" si="16"/>
        <v>48</v>
      </c>
      <c r="M30" s="189">
        <f t="shared" si="16"/>
        <v>40</v>
      </c>
      <c r="N30" s="189">
        <f t="shared" si="16"/>
        <v>40</v>
      </c>
      <c r="O30" s="189">
        <f t="shared" si="16"/>
        <v>0</v>
      </c>
      <c r="P30" s="189">
        <f t="shared" si="16"/>
        <v>0</v>
      </c>
      <c r="Q30" s="189">
        <f t="shared" si="16"/>
        <v>40</v>
      </c>
      <c r="R30" s="189">
        <f t="shared" si="16"/>
        <v>48</v>
      </c>
      <c r="S30" s="189">
        <f t="shared" si="16"/>
        <v>48</v>
      </c>
      <c r="T30" s="189">
        <f t="shared" si="16"/>
        <v>40</v>
      </c>
      <c r="U30" s="189">
        <f t="shared" si="16"/>
        <v>40</v>
      </c>
      <c r="V30" s="189"/>
      <c r="W30" s="189"/>
      <c r="X30" s="189"/>
      <c r="Y30" s="189"/>
      <c r="Z30" s="189"/>
      <c r="AA30" s="114"/>
      <c r="AB30" s="114"/>
    </row>
    <row r="31" spans="1:29" ht="12.75" customHeight="1">
      <c r="A31" s="143"/>
      <c r="B31" s="143"/>
      <c r="C31" s="144"/>
      <c r="D31" s="145"/>
      <c r="E31" s="146"/>
      <c r="F31" s="146"/>
      <c r="G31" s="146"/>
      <c r="H31" s="118"/>
      <c r="I31" s="147"/>
      <c r="J31" s="147"/>
      <c r="K31" s="147"/>
      <c r="L31" s="147"/>
      <c r="M31" s="147"/>
      <c r="N31" s="147"/>
      <c r="O31" s="114"/>
      <c r="P31" s="114"/>
      <c r="Q31" s="147"/>
      <c r="R31" s="147"/>
      <c r="S31" s="147"/>
      <c r="T31" s="147"/>
      <c r="U31" s="147"/>
      <c r="V31" s="147"/>
      <c r="W31" s="147"/>
      <c r="X31" s="147"/>
      <c r="Y31" s="114"/>
      <c r="Z31" s="114"/>
      <c r="AA31" s="114"/>
      <c r="AB31" s="114"/>
      <c r="AC31" s="114"/>
    </row>
    <row r="32" spans="1:29" ht="12.75" customHeight="1">
      <c r="A32" s="120"/>
      <c r="B32" s="120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114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7">E5+E20</f>
        <v>160</v>
      </c>
      <c r="D34" s="155">
        <f t="shared" ref="D34:D39" si="18">B34</f>
        <v>160</v>
      </c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144</v>
      </c>
      <c r="C35" s="154">
        <f t="shared" si="17"/>
        <v>160</v>
      </c>
      <c r="D35" s="155">
        <f t="shared" si="18"/>
        <v>144</v>
      </c>
      <c r="E35" s="114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144</v>
      </c>
      <c r="C36" s="154">
        <f t="shared" si="17"/>
        <v>160</v>
      </c>
      <c r="D36" s="155">
        <f t="shared" si="18"/>
        <v>144</v>
      </c>
      <c r="E36" s="114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7"/>
        <v>160</v>
      </c>
      <c r="D37" s="155">
        <f t="shared" si="18"/>
        <v>160</v>
      </c>
      <c r="E37" s="114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157" t="s">
        <v>20</v>
      </c>
      <c r="B38" s="158">
        <f>F9+F24</f>
        <v>144</v>
      </c>
      <c r="C38" s="159">
        <f t="shared" si="17"/>
        <v>160</v>
      </c>
      <c r="D38" s="160">
        <f t="shared" si="18"/>
        <v>144</v>
      </c>
      <c r="E38" s="114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136</v>
      </c>
      <c r="C39" s="159">
        <f t="shared" si="17"/>
        <v>160</v>
      </c>
      <c r="D39" s="160">
        <f t="shared" si="18"/>
        <v>136</v>
      </c>
      <c r="E39" s="114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152"/>
      <c r="B40" s="153">
        <f>G11+G26</f>
        <v>0</v>
      </c>
      <c r="C40" s="154">
        <f t="shared" ref="C40:D43" si="19">B40</f>
        <v>0</v>
      </c>
      <c r="D40" s="155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120"/>
      <c r="B45" s="120"/>
      <c r="C45" s="120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6" t="s">
        <v>0</v>
      </c>
      <c r="B46" s="257"/>
      <c r="C46" s="258"/>
      <c r="D46" s="120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120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10</v>
      </c>
      <c r="C48" s="168">
        <f>B48*8</f>
        <v>80</v>
      </c>
      <c r="D48" s="120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120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120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120"/>
      <c r="B51" s="120"/>
      <c r="C51" s="120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6" t="s">
        <v>22</v>
      </c>
      <c r="B53" s="257"/>
      <c r="C53" s="258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1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1</v>
      </c>
      <c r="C56" s="171">
        <f t="shared" si="21"/>
        <v>8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10</v>
      </c>
      <c r="C57" s="173">
        <f t="shared" si="22"/>
        <v>80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160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ht="14"/>
    <row r="261" ht="14"/>
    <row r="262" ht="14"/>
    <row r="263" ht="14"/>
    <row r="264" ht="14"/>
    <row r="265" ht="14"/>
    <row r="266" ht="14"/>
    <row r="267" ht="14"/>
    <row r="268" ht="14"/>
    <row r="269" ht="14"/>
    <row r="270" ht="14"/>
    <row r="271" ht="14"/>
    <row r="272" ht="14"/>
    <row r="273" ht="14"/>
    <row r="274" ht="14"/>
    <row r="275" ht="14"/>
    <row r="276" ht="14"/>
    <row r="277" ht="14"/>
    <row r="278" ht="14"/>
    <row r="279" ht="14"/>
    <row r="280" ht="14"/>
    <row r="281" ht="14"/>
    <row r="282" ht="14"/>
    <row r="283" ht="14"/>
    <row r="284" ht="14"/>
    <row r="285" ht="14"/>
    <row r="286" ht="14"/>
    <row r="287" ht="14"/>
    <row r="288" ht="14"/>
    <row r="289" ht="14"/>
    <row r="290" ht="14"/>
    <row r="291" ht="14"/>
    <row r="292" ht="14"/>
    <row r="293" ht="14"/>
    <row r="294" ht="14"/>
    <row r="295" ht="14"/>
    <row r="296" ht="14"/>
    <row r="297" ht="14"/>
    <row r="298" ht="14"/>
    <row r="299" ht="14"/>
    <row r="300" ht="14"/>
    <row r="301" ht="14"/>
    <row r="302" ht="14"/>
    <row r="303" ht="14"/>
    <row r="304" ht="14"/>
    <row r="305" ht="14"/>
    <row r="306" ht="14"/>
    <row r="307" ht="14"/>
    <row r="308" ht="14"/>
    <row r="309" ht="14"/>
    <row r="310" ht="14"/>
    <row r="311" ht="14"/>
    <row r="312" ht="14"/>
    <row r="313" ht="14"/>
    <row r="314" ht="14"/>
    <row r="315" ht="14"/>
    <row r="316" ht="14"/>
    <row r="317" ht="14"/>
    <row r="318" ht="14"/>
    <row r="319" ht="14"/>
    <row r="320" ht="14"/>
    <row r="321" ht="14"/>
    <row r="322" ht="14"/>
    <row r="323" ht="14"/>
    <row r="324" ht="14"/>
    <row r="325" ht="14"/>
    <row r="326" ht="14"/>
    <row r="327" ht="14"/>
    <row r="328" ht="14"/>
    <row r="329" ht="14"/>
    <row r="330" ht="14"/>
    <row r="331" ht="14"/>
    <row r="332" ht="14"/>
    <row r="333" ht="14"/>
    <row r="334" ht="14"/>
    <row r="335" ht="14"/>
    <row r="336" ht="14"/>
    <row r="337" ht="14"/>
    <row r="338" ht="14"/>
    <row r="339" ht="14"/>
    <row r="340" ht="14"/>
    <row r="341" ht="14"/>
    <row r="342" ht="14"/>
    <row r="343" ht="14"/>
    <row r="344" ht="14"/>
    <row r="345" ht="14"/>
    <row r="346" ht="14"/>
    <row r="347" ht="14"/>
    <row r="348" ht="14"/>
    <row r="349" ht="14"/>
    <row r="350" ht="14"/>
    <row r="351" ht="14"/>
    <row r="352" ht="14"/>
    <row r="353" ht="14"/>
    <row r="354" ht="14"/>
    <row r="355" ht="14"/>
    <row r="356" ht="14"/>
    <row r="357" ht="14"/>
    <row r="358" ht="14"/>
    <row r="359" ht="14"/>
    <row r="360" ht="14"/>
    <row r="361" ht="14"/>
    <row r="362" ht="14"/>
    <row r="363" ht="14"/>
    <row r="364" ht="14"/>
    <row r="365" ht="14"/>
    <row r="366" ht="14"/>
    <row r="367" ht="14"/>
    <row r="368" ht="14"/>
    <row r="369" ht="14"/>
    <row r="370" ht="14"/>
    <row r="371" ht="14"/>
    <row r="372" ht="14"/>
    <row r="373" ht="14"/>
    <row r="374" ht="14"/>
    <row r="375" ht="14"/>
    <row r="376" ht="14"/>
    <row r="377" ht="14"/>
    <row r="378" ht="14"/>
    <row r="379" ht="14"/>
    <row r="380" ht="14"/>
    <row r="381" ht="14"/>
    <row r="382" ht="14"/>
    <row r="383" ht="14"/>
    <row r="384" ht="14"/>
    <row r="385" ht="14"/>
    <row r="386" ht="14"/>
    <row r="387" ht="14"/>
    <row r="388" ht="14"/>
    <row r="389" ht="14"/>
    <row r="390" ht="14"/>
    <row r="391" ht="14"/>
    <row r="392" ht="14"/>
    <row r="393" ht="14"/>
    <row r="394" ht="14"/>
    <row r="395" ht="14"/>
    <row r="396" ht="14"/>
    <row r="397" ht="14"/>
    <row r="398" ht="14"/>
    <row r="399" ht="14"/>
    <row r="400" ht="14"/>
    <row r="401" ht="14"/>
    <row r="402" ht="14"/>
    <row r="403" ht="14"/>
    <row r="404" ht="14"/>
    <row r="405" ht="14"/>
    <row r="406" ht="14"/>
    <row r="407" ht="14"/>
    <row r="408" ht="14"/>
    <row r="409" ht="14"/>
    <row r="410" ht="14"/>
    <row r="411" ht="14"/>
    <row r="412" ht="14"/>
    <row r="413" ht="14"/>
    <row r="414" ht="14"/>
    <row r="415" ht="14"/>
    <row r="416" ht="14"/>
    <row r="417" ht="14"/>
    <row r="418" ht="14"/>
    <row r="419" ht="14"/>
    <row r="420" ht="14"/>
    <row r="421" ht="14"/>
    <row r="422" ht="14"/>
    <row r="423" ht="14"/>
    <row r="424" ht="14"/>
    <row r="425" ht="14"/>
    <row r="426" ht="14"/>
    <row r="427" ht="14"/>
    <row r="428" ht="14"/>
    <row r="429" ht="14"/>
    <row r="430" ht="14"/>
    <row r="431" ht="14"/>
    <row r="432" ht="14"/>
    <row r="433" ht="14"/>
    <row r="434" ht="14"/>
    <row r="435" ht="14"/>
    <row r="436" ht="14"/>
    <row r="437" ht="14"/>
    <row r="438" ht="14"/>
    <row r="439" ht="14"/>
    <row r="440" ht="14"/>
    <row r="441" ht="14"/>
    <row r="442" ht="14"/>
    <row r="443" ht="14"/>
    <row r="444" ht="14"/>
    <row r="445" ht="14"/>
    <row r="446" ht="14"/>
    <row r="447" ht="14"/>
    <row r="448" ht="14"/>
    <row r="449" ht="14"/>
    <row r="450" ht="14"/>
    <row r="451" ht="14"/>
    <row r="452" ht="14"/>
    <row r="453" ht="14"/>
    <row r="454" ht="14"/>
    <row r="455" ht="14"/>
    <row r="456" ht="14"/>
    <row r="457" ht="14"/>
    <row r="458" ht="14"/>
    <row r="459" ht="14"/>
    <row r="460" ht="14"/>
    <row r="461" ht="14"/>
    <row r="462" ht="14"/>
    <row r="463" ht="14"/>
    <row r="464" ht="14"/>
    <row r="465" ht="14"/>
    <row r="466" ht="14"/>
    <row r="467" ht="14"/>
    <row r="468" ht="14"/>
    <row r="469" ht="14"/>
    <row r="470" ht="14"/>
    <row r="471" ht="14"/>
    <row r="472" ht="14"/>
    <row r="473" ht="14"/>
    <row r="474" ht="14"/>
    <row r="475" ht="14"/>
    <row r="476" ht="14"/>
    <row r="477" ht="14"/>
    <row r="478" ht="14"/>
    <row r="479" ht="14"/>
    <row r="480" ht="14"/>
    <row r="481" ht="14"/>
    <row r="482" ht="14"/>
    <row r="483" ht="14"/>
    <row r="484" ht="14"/>
    <row r="485" ht="14"/>
    <row r="486" ht="14"/>
    <row r="487" ht="14"/>
    <row r="488" ht="14"/>
    <row r="489" ht="14"/>
    <row r="490" ht="14"/>
    <row r="491" ht="14"/>
    <row r="492" ht="14"/>
    <row r="493" ht="14"/>
    <row r="494" ht="14"/>
    <row r="495" ht="14"/>
    <row r="496" ht="14"/>
    <row r="497" ht="14"/>
    <row r="498" ht="14"/>
    <row r="499" ht="14"/>
    <row r="500" ht="14"/>
    <row r="501" ht="14"/>
    <row r="502" ht="14"/>
    <row r="503" ht="14"/>
    <row r="504" ht="14"/>
    <row r="505" ht="14"/>
    <row r="506" ht="14"/>
    <row r="507" ht="14"/>
    <row r="508" ht="14"/>
    <row r="509" ht="14"/>
    <row r="510" ht="14"/>
    <row r="511" ht="14"/>
    <row r="512" ht="14"/>
    <row r="513" ht="14"/>
    <row r="514" ht="14"/>
    <row r="515" ht="14"/>
    <row r="516" ht="14"/>
    <row r="517" ht="14"/>
    <row r="518" ht="14"/>
    <row r="519" ht="14"/>
    <row r="520" ht="14"/>
    <row r="521" ht="14"/>
    <row r="522" ht="14"/>
    <row r="523" ht="14"/>
    <row r="524" ht="14"/>
    <row r="525" ht="14"/>
    <row r="526" ht="14"/>
    <row r="527" ht="14"/>
    <row r="528" ht="14"/>
    <row r="529" ht="14"/>
    <row r="530" ht="14"/>
    <row r="531" ht="14"/>
    <row r="532" ht="14"/>
    <row r="533" ht="14"/>
    <row r="534" ht="14"/>
    <row r="535" ht="14"/>
    <row r="536" ht="14"/>
    <row r="537" ht="14"/>
    <row r="538" ht="14"/>
    <row r="539" ht="14"/>
    <row r="540" ht="14"/>
    <row r="541" ht="14"/>
    <row r="542" ht="14"/>
    <row r="543" ht="14"/>
    <row r="544" ht="14"/>
    <row r="545" ht="14"/>
    <row r="546" ht="14"/>
    <row r="547" ht="14"/>
    <row r="548" ht="14"/>
    <row r="549" ht="14"/>
    <row r="550" ht="14"/>
    <row r="551" ht="14"/>
    <row r="552" ht="14"/>
    <row r="553" ht="14"/>
    <row r="554" ht="14"/>
    <row r="555" ht="14"/>
    <row r="556" ht="14"/>
    <row r="557" ht="14"/>
    <row r="558" ht="14"/>
    <row r="559" ht="14"/>
    <row r="560" ht="14"/>
    <row r="561" ht="14"/>
    <row r="562" ht="14"/>
    <row r="563" ht="14"/>
    <row r="564" ht="14"/>
    <row r="565" ht="14"/>
    <row r="566" ht="14"/>
    <row r="567" ht="14"/>
    <row r="568" ht="14"/>
    <row r="569" ht="14"/>
    <row r="570" ht="14"/>
    <row r="571" ht="14"/>
    <row r="572" ht="14"/>
    <row r="573" ht="14"/>
    <row r="574" ht="14"/>
    <row r="575" ht="14"/>
    <row r="576" ht="14"/>
    <row r="577" ht="14"/>
    <row r="578" ht="14"/>
    <row r="579" ht="14"/>
    <row r="580" ht="14"/>
    <row r="581" ht="14"/>
    <row r="582" ht="14"/>
    <row r="583" ht="14"/>
    <row r="584" ht="14"/>
    <row r="585" ht="14"/>
    <row r="586" ht="14"/>
    <row r="587" ht="14"/>
    <row r="588" ht="14"/>
    <row r="589" ht="14"/>
    <row r="590" ht="14"/>
    <row r="591" ht="14"/>
    <row r="592" ht="14"/>
    <row r="593" ht="14"/>
    <row r="594" ht="14"/>
    <row r="595" ht="14"/>
    <row r="596" ht="14"/>
    <row r="597" ht="14"/>
    <row r="598" ht="14"/>
    <row r="599" ht="14"/>
    <row r="600" ht="14"/>
    <row r="601" ht="14"/>
    <row r="602" ht="14"/>
    <row r="603" ht="14"/>
    <row r="604" ht="14"/>
    <row r="605" ht="14"/>
    <row r="606" ht="14"/>
    <row r="607" ht="14"/>
    <row r="608" ht="14"/>
    <row r="609" ht="14"/>
    <row r="610" ht="14"/>
    <row r="611" ht="14"/>
    <row r="612" ht="14"/>
    <row r="613" ht="14"/>
    <row r="614" ht="14"/>
    <row r="615" ht="14"/>
    <row r="616" ht="14"/>
    <row r="617" ht="14"/>
    <row r="618" ht="14"/>
    <row r="619" ht="14"/>
    <row r="620" ht="14"/>
    <row r="621" ht="14"/>
    <row r="622" ht="14"/>
    <row r="623" ht="14"/>
    <row r="624" ht="14"/>
    <row r="625" ht="14"/>
    <row r="626" ht="14"/>
    <row r="627" ht="14"/>
    <row r="628" ht="14"/>
    <row r="629" ht="14"/>
    <row r="630" ht="14"/>
    <row r="631" ht="14"/>
    <row r="632" ht="14"/>
    <row r="633" ht="14"/>
    <row r="634" ht="14"/>
    <row r="635" ht="14"/>
    <row r="636" ht="14"/>
    <row r="637" ht="14"/>
    <row r="638" ht="14"/>
    <row r="639" ht="14"/>
    <row r="640" ht="14"/>
    <row r="641" ht="14"/>
    <row r="642" ht="14"/>
    <row r="643" ht="14"/>
    <row r="644" ht="14"/>
    <row r="645" ht="14"/>
    <row r="646" ht="14"/>
    <row r="647" ht="14"/>
    <row r="648" ht="14"/>
    <row r="649" ht="14"/>
    <row r="650" ht="14"/>
    <row r="651" ht="14"/>
    <row r="652" ht="14"/>
    <row r="653" ht="14"/>
    <row r="654" ht="14"/>
    <row r="655" ht="14"/>
    <row r="656" ht="14"/>
    <row r="657" ht="14"/>
    <row r="658" ht="14"/>
    <row r="659" ht="14"/>
    <row r="660" ht="14"/>
    <row r="661" ht="14"/>
    <row r="662" ht="14"/>
    <row r="663" ht="14"/>
    <row r="664" ht="14"/>
    <row r="665" ht="14"/>
    <row r="666" ht="14"/>
    <row r="667" ht="14"/>
    <row r="668" ht="14"/>
    <row r="669" ht="14"/>
    <row r="670" ht="14"/>
    <row r="671" ht="14"/>
    <row r="672" ht="14"/>
    <row r="673" ht="14"/>
    <row r="674" ht="14"/>
    <row r="675" ht="14"/>
    <row r="676" ht="14"/>
    <row r="677" ht="14"/>
    <row r="678" ht="14"/>
    <row r="679" ht="14"/>
    <row r="680" ht="14"/>
    <row r="681" ht="14"/>
    <row r="682" ht="14"/>
    <row r="683" ht="14"/>
    <row r="684" ht="14"/>
    <row r="685" ht="14"/>
    <row r="686" ht="14"/>
    <row r="687" ht="14"/>
    <row r="688" ht="14"/>
    <row r="689" ht="14"/>
    <row r="690" ht="14"/>
    <row r="691" ht="14"/>
    <row r="692" ht="14"/>
    <row r="693" ht="14"/>
    <row r="694" ht="14"/>
    <row r="695" ht="14"/>
    <row r="696" ht="14"/>
    <row r="697" ht="14"/>
    <row r="698" ht="14"/>
    <row r="699" ht="14"/>
    <row r="700" ht="14"/>
    <row r="701" ht="14"/>
    <row r="702" ht="14"/>
    <row r="703" ht="14"/>
    <row r="704" ht="14"/>
    <row r="705" ht="14"/>
    <row r="706" ht="14"/>
    <row r="707" ht="14"/>
    <row r="708" ht="14"/>
    <row r="709" ht="14"/>
    <row r="710" ht="14"/>
    <row r="711" ht="14"/>
    <row r="712" ht="14"/>
    <row r="713" ht="14"/>
    <row r="714" ht="14"/>
    <row r="715" ht="14"/>
    <row r="716" ht="14"/>
    <row r="717" ht="14"/>
    <row r="718" ht="14"/>
    <row r="719" ht="14"/>
    <row r="720" ht="14"/>
    <row r="721" ht="14"/>
    <row r="722" ht="14"/>
    <row r="723" ht="14"/>
    <row r="724" ht="14"/>
    <row r="725" ht="14"/>
    <row r="726" ht="14"/>
    <row r="727" ht="14"/>
    <row r="728" ht="14"/>
    <row r="729" ht="14"/>
    <row r="730" ht="14"/>
    <row r="731" ht="14"/>
    <row r="732" ht="14"/>
    <row r="733" ht="14"/>
    <row r="734" ht="14"/>
    <row r="735" ht="14"/>
    <row r="736" ht="14"/>
    <row r="737" ht="14"/>
    <row r="738" ht="14"/>
    <row r="739" ht="14"/>
    <row r="740" ht="14"/>
    <row r="741" ht="14"/>
    <row r="742" ht="14"/>
    <row r="743" ht="14"/>
    <row r="744" ht="14"/>
    <row r="745" ht="14"/>
    <row r="746" ht="14"/>
    <row r="747" ht="14"/>
    <row r="748" ht="14"/>
    <row r="749" ht="14"/>
    <row r="750" ht="14"/>
    <row r="751" ht="14"/>
    <row r="752" ht="14"/>
    <row r="753" ht="14"/>
    <row r="754" ht="14"/>
    <row r="755" ht="14"/>
    <row r="756" ht="14"/>
    <row r="757" ht="14"/>
    <row r="758" ht="14"/>
    <row r="759" ht="14"/>
    <row r="760" ht="14"/>
    <row r="761" ht="14"/>
    <row r="762" ht="14"/>
    <row r="763" ht="14"/>
    <row r="764" ht="14"/>
    <row r="765" ht="14"/>
    <row r="766" ht="14"/>
    <row r="767" ht="14"/>
    <row r="768" ht="14"/>
    <row r="769" ht="14"/>
    <row r="770" ht="14"/>
    <row r="771" ht="14"/>
    <row r="772" ht="14"/>
    <row r="773" ht="14"/>
    <row r="774" ht="14"/>
    <row r="775" ht="14"/>
    <row r="776" ht="14"/>
    <row r="777" ht="14"/>
    <row r="778" ht="14"/>
    <row r="779" ht="14"/>
    <row r="780" ht="14"/>
    <row r="781" ht="14"/>
    <row r="782" ht="14"/>
    <row r="783" ht="14"/>
    <row r="784" ht="14"/>
    <row r="785" ht="14"/>
    <row r="786" ht="14"/>
    <row r="787" ht="14"/>
    <row r="788" ht="14"/>
    <row r="789" ht="14"/>
    <row r="790" ht="14"/>
    <row r="791" ht="14"/>
    <row r="792" ht="14"/>
    <row r="793" ht="14"/>
    <row r="794" ht="14"/>
    <row r="795" ht="14"/>
    <row r="796" ht="14"/>
    <row r="797" ht="14"/>
    <row r="798" ht="14"/>
    <row r="799" ht="14"/>
    <row r="800" ht="14"/>
    <row r="801" ht="14"/>
    <row r="802" ht="14"/>
    <row r="803" ht="14"/>
    <row r="804" ht="14"/>
    <row r="805" ht="14"/>
    <row r="806" ht="14"/>
    <row r="807" ht="14"/>
    <row r="808" ht="14"/>
    <row r="809" ht="14"/>
    <row r="810" ht="14"/>
    <row r="811" ht="14"/>
    <row r="812" ht="14"/>
    <row r="813" ht="14"/>
    <row r="814" ht="14"/>
    <row r="815" ht="14"/>
    <row r="816" ht="14"/>
    <row r="817" ht="14"/>
    <row r="818" ht="14"/>
    <row r="819" ht="14"/>
    <row r="820" ht="14"/>
    <row r="821" ht="14"/>
    <row r="822" ht="14"/>
    <row r="823" ht="14"/>
    <row r="824" ht="14"/>
    <row r="825" ht="14"/>
    <row r="826" ht="14"/>
    <row r="827" ht="14"/>
    <row r="828" ht="14"/>
    <row r="829" ht="14"/>
    <row r="830" ht="14"/>
    <row r="831" ht="14"/>
    <row r="832" ht="14"/>
    <row r="833" ht="14"/>
    <row r="834" ht="14"/>
    <row r="835" ht="14"/>
    <row r="836" ht="14"/>
    <row r="837" ht="14"/>
    <row r="838" ht="14"/>
    <row r="839" ht="14"/>
    <row r="840" ht="14"/>
    <row r="841" ht="14"/>
    <row r="842" ht="14"/>
    <row r="843" ht="14"/>
    <row r="844" ht="14"/>
    <row r="845" ht="14"/>
    <row r="846" ht="14"/>
    <row r="847" ht="14"/>
    <row r="848" ht="14"/>
    <row r="849" ht="14"/>
    <row r="850" ht="14"/>
    <row r="851" ht="14"/>
    <row r="852" ht="14"/>
    <row r="853" ht="14"/>
    <row r="854" ht="14"/>
    <row r="855" ht="14"/>
    <row r="856" ht="14"/>
    <row r="857" ht="14"/>
    <row r="858" ht="14"/>
    <row r="859" ht="14"/>
    <row r="860" ht="14"/>
    <row r="861" ht="14"/>
    <row r="862" ht="14"/>
    <row r="863" ht="14"/>
    <row r="864" ht="14"/>
    <row r="865" ht="14"/>
    <row r="866" ht="14"/>
    <row r="867" ht="14"/>
    <row r="868" ht="14"/>
    <row r="869" ht="14"/>
    <row r="870" ht="14"/>
    <row r="871" ht="14"/>
    <row r="872" ht="14"/>
    <row r="873" ht="14"/>
    <row r="874" ht="14"/>
    <row r="875" ht="14"/>
    <row r="876" ht="14"/>
    <row r="877" ht="14"/>
    <row r="878" ht="14"/>
    <row r="879" ht="14"/>
    <row r="880" ht="14"/>
    <row r="881" ht="14"/>
    <row r="882" ht="14"/>
    <row r="883" ht="14"/>
    <row r="884" ht="14"/>
    <row r="885" ht="14"/>
    <row r="886" ht="14"/>
    <row r="887" ht="14"/>
    <row r="888" ht="14"/>
    <row r="889" ht="14"/>
    <row r="890" ht="14"/>
    <row r="891" ht="14"/>
    <row r="892" ht="14"/>
    <row r="893" ht="14"/>
    <row r="894" ht="14"/>
    <row r="895" ht="14"/>
    <row r="896" ht="14"/>
    <row r="897" ht="14"/>
    <row r="898" ht="14"/>
    <row r="899" ht="14"/>
    <row r="900" ht="14"/>
    <row r="901" ht="14"/>
    <row r="902" ht="14"/>
    <row r="903" ht="14"/>
    <row r="904" ht="14"/>
    <row r="905" ht="14"/>
    <row r="906" ht="14"/>
    <row r="907" ht="14"/>
    <row r="908" ht="14"/>
    <row r="909" ht="14"/>
    <row r="910" ht="14"/>
    <row r="911" ht="14"/>
    <row r="912" ht="14"/>
    <row r="913" ht="14"/>
    <row r="914" ht="14"/>
    <row r="915" ht="14"/>
    <row r="916" ht="14"/>
    <row r="917" ht="14"/>
    <row r="918" ht="14"/>
    <row r="919" ht="14"/>
    <row r="920" ht="14"/>
    <row r="921" ht="14"/>
    <row r="922" ht="14"/>
    <row r="923" ht="14"/>
    <row r="924" ht="14"/>
    <row r="925" ht="14"/>
    <row r="926" ht="14"/>
    <row r="927" ht="14"/>
    <row r="928" ht="14"/>
    <row r="929" ht="14"/>
    <row r="930" ht="14"/>
    <row r="931" ht="14"/>
    <row r="932" ht="14"/>
    <row r="933" ht="14"/>
    <row r="934" ht="14"/>
    <row r="935" ht="14"/>
    <row r="936" ht="14"/>
    <row r="937" ht="14"/>
    <row r="938" ht="14"/>
    <row r="939" ht="14"/>
    <row r="940" ht="14"/>
    <row r="941" ht="14"/>
    <row r="942" ht="14"/>
    <row r="943" ht="14"/>
    <row r="944" ht="14"/>
    <row r="945" ht="14"/>
    <row r="946" ht="14"/>
    <row r="947" ht="14"/>
    <row r="948" ht="14"/>
    <row r="949" ht="14"/>
    <row r="950" ht="14"/>
    <row r="951" ht="14"/>
    <row r="952" ht="14"/>
    <row r="953" ht="14"/>
    <row r="954" ht="14"/>
    <row r="955" ht="14"/>
    <row r="956" ht="14"/>
    <row r="957" ht="14"/>
    <row r="958" ht="14"/>
    <row r="959" ht="14"/>
    <row r="960" ht="14"/>
    <row r="961" ht="14"/>
    <row r="962" ht="14"/>
    <row r="963" ht="14"/>
    <row r="964" ht="14"/>
    <row r="965" ht="14"/>
    <row r="966" ht="14"/>
    <row r="967" ht="14"/>
    <row r="968" ht="14"/>
    <row r="969" ht="14"/>
    <row r="970" ht="14"/>
    <row r="971" ht="14"/>
    <row r="972" ht="14"/>
    <row r="973" ht="14"/>
    <row r="974" ht="14"/>
    <row r="975" ht="14"/>
    <row r="976" ht="14"/>
    <row r="977" ht="14"/>
    <row r="978" ht="14"/>
    <row r="979" ht="14"/>
    <row r="980" ht="14"/>
    <row r="981" ht="14"/>
    <row r="982" ht="14"/>
    <row r="983" ht="14"/>
    <row r="984" ht="14"/>
    <row r="985" ht="14"/>
    <row r="986" ht="14"/>
    <row r="987" ht="14"/>
    <row r="988" ht="14"/>
    <row r="989" ht="14"/>
    <row r="990" ht="14"/>
    <row r="991" ht="14"/>
    <row r="992" ht="14"/>
    <row r="993" ht="14"/>
    <row r="994" ht="14"/>
    <row r="995" ht="14"/>
    <row r="996" ht="14"/>
    <row r="997" ht="14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FFFF"/>
  </sheetPr>
  <dimension ref="A1:AI1000"/>
  <sheetViews>
    <sheetView showGridLines="0" workbookViewId="0">
      <pane xSplit="2" topLeftCell="C1" activePane="topRight" state="frozen"/>
      <selection pane="topRight" activeCell="A7" sqref="A7"/>
    </sheetView>
  </sheetViews>
  <sheetFormatPr baseColWidth="10" defaultColWidth="12.5" defaultRowHeight="15.75" customHeight="1"/>
  <cols>
    <col min="1" max="1" width="23.5" customWidth="1"/>
    <col min="2" max="2" width="11.83203125" customWidth="1"/>
    <col min="3" max="3" width="18.83203125" customWidth="1"/>
    <col min="4" max="4" width="10.5" customWidth="1"/>
    <col min="5" max="5" width="8.5" customWidth="1"/>
    <col min="6" max="6" width="7.5" customWidth="1"/>
    <col min="7" max="7" width="9.5" customWidth="1"/>
    <col min="8" max="8" width="9" customWidth="1"/>
    <col min="9" max="9" width="6.33203125" customWidth="1"/>
    <col min="10" max="11" width="6.5" customWidth="1"/>
    <col min="12" max="12" width="5.83203125" customWidth="1"/>
    <col min="13" max="14" width="6.5" customWidth="1"/>
    <col min="15" max="15" width="6.1640625" customWidth="1"/>
    <col min="16" max="16" width="6.33203125" customWidth="1"/>
    <col min="17" max="20" width="6.5" customWidth="1"/>
    <col min="21" max="21" width="6.6640625" customWidth="1"/>
    <col min="22" max="22" width="6.33203125" customWidth="1"/>
    <col min="23" max="23" width="6.5" customWidth="1"/>
    <col min="24" max="24" width="9.33203125" customWidth="1"/>
    <col min="25" max="25" width="9.5" customWidth="1"/>
    <col min="26" max="26" width="9.33203125" customWidth="1"/>
    <col min="27" max="27" width="8.6640625" customWidth="1"/>
    <col min="28" max="28" width="15.33203125" customWidth="1"/>
    <col min="29" max="29" width="14" customWidth="1"/>
    <col min="30" max="30" width="7.5" customWidth="1"/>
    <col min="31" max="31" width="17.6640625" customWidth="1"/>
    <col min="32" max="35" width="7.5" customWidth="1"/>
  </cols>
  <sheetData>
    <row r="1" spans="1:35" ht="15.75" customHeight="1">
      <c r="A1" s="1"/>
      <c r="B1" s="2"/>
      <c r="C1" s="3">
        <v>45658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5" t="s">
        <v>1</v>
      </c>
      <c r="B3" s="265" t="s">
        <v>2</v>
      </c>
      <c r="C3" s="265" t="s">
        <v>3</v>
      </c>
      <c r="D3" s="265" t="s">
        <v>4</v>
      </c>
      <c r="E3" s="270" t="s">
        <v>5</v>
      </c>
      <c r="F3" s="271"/>
      <c r="G3" s="271"/>
      <c r="H3" s="272"/>
      <c r="I3" s="14">
        <f>C1</f>
        <v>45658</v>
      </c>
      <c r="J3" s="14">
        <f t="shared" ref="J3:W3" si="0">I3+1</f>
        <v>45659</v>
      </c>
      <c r="K3" s="14">
        <f t="shared" si="0"/>
        <v>45660</v>
      </c>
      <c r="L3" s="14">
        <f t="shared" si="0"/>
        <v>45661</v>
      </c>
      <c r="M3" s="14">
        <f t="shared" si="0"/>
        <v>45662</v>
      </c>
      <c r="N3" s="14">
        <f t="shared" si="0"/>
        <v>45663</v>
      </c>
      <c r="O3" s="14">
        <f t="shared" si="0"/>
        <v>45664</v>
      </c>
      <c r="P3" s="14">
        <f t="shared" si="0"/>
        <v>45665</v>
      </c>
      <c r="Q3" s="14">
        <f t="shared" si="0"/>
        <v>45666</v>
      </c>
      <c r="R3" s="14">
        <f t="shared" si="0"/>
        <v>45667</v>
      </c>
      <c r="S3" s="14">
        <f t="shared" si="0"/>
        <v>45668</v>
      </c>
      <c r="T3" s="14">
        <f t="shared" si="0"/>
        <v>45669</v>
      </c>
      <c r="U3" s="14">
        <f t="shared" si="0"/>
        <v>45670</v>
      </c>
      <c r="V3" s="14">
        <f t="shared" si="0"/>
        <v>45671</v>
      </c>
      <c r="W3" s="14">
        <f t="shared" si="0"/>
        <v>45672</v>
      </c>
      <c r="X3" s="265" t="s">
        <v>6</v>
      </c>
      <c r="Y3" s="265" t="s">
        <v>7</v>
      </c>
      <c r="Z3" s="13"/>
      <c r="AA3" s="15"/>
      <c r="AB3" s="15"/>
    </row>
    <row r="4" spans="1:35" ht="26.25" customHeight="1">
      <c r="A4" s="266"/>
      <c r="B4" s="266"/>
      <c r="C4" s="266"/>
      <c r="D4" s="266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Wed</v>
      </c>
      <c r="J4" s="21" t="str">
        <f t="shared" si="1"/>
        <v>Thu</v>
      </c>
      <c r="K4" s="21" t="str">
        <f t="shared" si="1"/>
        <v>Fri</v>
      </c>
      <c r="L4" s="22" t="str">
        <f t="shared" si="1"/>
        <v>Sat</v>
      </c>
      <c r="M4" s="22" t="str">
        <f t="shared" si="1"/>
        <v>Sun</v>
      </c>
      <c r="N4" s="20" t="str">
        <f t="shared" si="1"/>
        <v>Mon</v>
      </c>
      <c r="O4" s="20" t="str">
        <f t="shared" si="1"/>
        <v>Tue</v>
      </c>
      <c r="P4" s="22" t="str">
        <f t="shared" si="1"/>
        <v>Wed</v>
      </c>
      <c r="Q4" s="22" t="str">
        <f t="shared" si="1"/>
        <v>Thu</v>
      </c>
      <c r="R4" s="22" t="str">
        <f t="shared" si="1"/>
        <v>Fri</v>
      </c>
      <c r="S4" s="22" t="str">
        <f t="shared" si="1"/>
        <v>Sat</v>
      </c>
      <c r="T4" s="22" t="str">
        <f t="shared" si="1"/>
        <v>Sun</v>
      </c>
      <c r="U4" s="22" t="str">
        <f t="shared" si="1"/>
        <v>Mon</v>
      </c>
      <c r="V4" s="22" t="str">
        <f t="shared" si="1"/>
        <v>Tue</v>
      </c>
      <c r="W4" s="22" t="str">
        <f t="shared" si="1"/>
        <v>Wed</v>
      </c>
      <c r="X4" s="266"/>
      <c r="Y4" s="266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1" si="2">E5</f>
        <v>80</v>
      </c>
      <c r="E5" s="29">
        <f t="shared" ref="E5:E11" si="3">Y5*8</f>
        <v>80</v>
      </c>
      <c r="F5" s="29">
        <f t="shared" ref="F5:F11" si="4">G5+H5</f>
        <v>80</v>
      </c>
      <c r="G5" s="29">
        <f t="shared" ref="G5:G11" si="5">SUM(I5:W5)</f>
        <v>80</v>
      </c>
      <c r="H5" s="30">
        <v>0</v>
      </c>
      <c r="I5" s="31"/>
      <c r="J5" s="32">
        <v>8</v>
      </c>
      <c r="K5" s="32">
        <v>8</v>
      </c>
      <c r="L5" s="33"/>
      <c r="M5" s="33"/>
      <c r="N5" s="32">
        <v>8</v>
      </c>
      <c r="O5" s="32">
        <v>8</v>
      </c>
      <c r="P5" s="32">
        <v>8</v>
      </c>
      <c r="Q5" s="32">
        <v>8</v>
      </c>
      <c r="R5" s="32">
        <v>8</v>
      </c>
      <c r="S5" s="33"/>
      <c r="T5" s="33"/>
      <c r="U5" s="32">
        <v>8</v>
      </c>
      <c r="V5" s="32">
        <v>8</v>
      </c>
      <c r="W5" s="32">
        <v>8</v>
      </c>
      <c r="X5" s="29">
        <f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40</v>
      </c>
      <c r="G6" s="29">
        <f t="shared" si="5"/>
        <v>40</v>
      </c>
      <c r="H6" s="30">
        <v>0</v>
      </c>
      <c r="I6" s="31"/>
      <c r="J6" s="32">
        <v>4</v>
      </c>
      <c r="K6" s="32">
        <v>4</v>
      </c>
      <c r="L6" s="33"/>
      <c r="M6" s="33"/>
      <c r="N6" s="32">
        <v>4</v>
      </c>
      <c r="O6" s="32">
        <v>4</v>
      </c>
      <c r="P6" s="32">
        <v>4</v>
      </c>
      <c r="Q6" s="32">
        <v>4</v>
      </c>
      <c r="R6" s="32">
        <v>4</v>
      </c>
      <c r="S6" s="33"/>
      <c r="T6" s="33"/>
      <c r="U6" s="32">
        <v>4</v>
      </c>
      <c r="V6" s="32">
        <v>4</v>
      </c>
      <c r="W6" s="32">
        <v>4</v>
      </c>
      <c r="X6" s="29"/>
      <c r="Y6" s="34">
        <v>10</v>
      </c>
      <c r="Z6" s="13"/>
      <c r="AA6" s="13"/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1"/>
      <c r="J7" s="32">
        <v>8</v>
      </c>
      <c r="K7" s="32">
        <v>8</v>
      </c>
      <c r="L7" s="33"/>
      <c r="M7" s="33"/>
      <c r="N7" s="32">
        <v>8</v>
      </c>
      <c r="O7" s="32">
        <v>8</v>
      </c>
      <c r="P7" s="32">
        <v>8</v>
      </c>
      <c r="Q7" s="32">
        <v>8</v>
      </c>
      <c r="R7" s="32">
        <v>8</v>
      </c>
      <c r="S7" s="33"/>
      <c r="T7" s="33"/>
      <c r="U7" s="32">
        <v>8</v>
      </c>
      <c r="V7" s="32">
        <v>8</v>
      </c>
      <c r="W7" s="32">
        <v>8</v>
      </c>
      <c r="X7" s="29">
        <f t="shared" ref="X7:X15" si="6">Y7-COUNTA(I7:W7)</f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64</v>
      </c>
      <c r="G8" s="29">
        <f t="shared" si="5"/>
        <v>64</v>
      </c>
      <c r="H8" s="30">
        <v>0</v>
      </c>
      <c r="I8" s="31"/>
      <c r="J8" s="32">
        <v>8</v>
      </c>
      <c r="K8" s="32">
        <v>8</v>
      </c>
      <c r="L8" s="33"/>
      <c r="M8" s="33"/>
      <c r="N8" s="32">
        <v>8</v>
      </c>
      <c r="O8" s="32">
        <v>8</v>
      </c>
      <c r="P8" s="32">
        <v>8</v>
      </c>
      <c r="Q8" s="32">
        <v>8</v>
      </c>
      <c r="R8" s="32">
        <v>8</v>
      </c>
      <c r="S8" s="33"/>
      <c r="T8" s="33"/>
      <c r="U8" s="38"/>
      <c r="V8" s="38"/>
      <c r="W8" s="32">
        <v>8</v>
      </c>
      <c r="X8" s="29">
        <f t="shared" si="6"/>
        <v>2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1"/>
      <c r="J9" s="32">
        <v>8</v>
      </c>
      <c r="K9" s="32">
        <v>8</v>
      </c>
      <c r="L9" s="33"/>
      <c r="M9" s="33"/>
      <c r="N9" s="32">
        <v>8</v>
      </c>
      <c r="O9" s="32">
        <v>8</v>
      </c>
      <c r="P9" s="32">
        <v>8</v>
      </c>
      <c r="Q9" s="32">
        <v>8</v>
      </c>
      <c r="R9" s="32">
        <v>8</v>
      </c>
      <c r="S9" s="33"/>
      <c r="T9" s="33"/>
      <c r="U9" s="32">
        <v>8</v>
      </c>
      <c r="V9" s="32">
        <v>8</v>
      </c>
      <c r="W9" s="32">
        <v>8</v>
      </c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80</v>
      </c>
      <c r="G10" s="29">
        <f t="shared" si="5"/>
        <v>80</v>
      </c>
      <c r="H10" s="30">
        <v>0</v>
      </c>
      <c r="I10" s="31"/>
      <c r="J10" s="32">
        <v>8</v>
      </c>
      <c r="K10" s="32">
        <v>8</v>
      </c>
      <c r="L10" s="33"/>
      <c r="M10" s="33"/>
      <c r="N10" s="32">
        <v>8</v>
      </c>
      <c r="O10" s="32">
        <v>8</v>
      </c>
      <c r="P10" s="32">
        <v>8</v>
      </c>
      <c r="Q10" s="32">
        <v>8</v>
      </c>
      <c r="R10" s="32">
        <v>8</v>
      </c>
      <c r="S10" s="33"/>
      <c r="T10" s="33"/>
      <c r="U10" s="32">
        <v>8</v>
      </c>
      <c r="V10" s="32">
        <v>8</v>
      </c>
      <c r="W10" s="32">
        <v>8</v>
      </c>
      <c r="X10" s="29">
        <f t="shared" si="6"/>
        <v>0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customHeight="1">
      <c r="A11" s="40" t="s">
        <v>21</v>
      </c>
      <c r="B11" s="41" t="s">
        <v>14</v>
      </c>
      <c r="C11" s="39">
        <v>45628</v>
      </c>
      <c r="D11" s="29">
        <f t="shared" si="2"/>
        <v>80</v>
      </c>
      <c r="E11" s="29">
        <f t="shared" si="3"/>
        <v>80</v>
      </c>
      <c r="F11" s="29">
        <f t="shared" si="4"/>
        <v>36</v>
      </c>
      <c r="G11" s="29">
        <f t="shared" si="5"/>
        <v>36</v>
      </c>
      <c r="H11" s="30">
        <v>0</v>
      </c>
      <c r="I11" s="31"/>
      <c r="J11" s="32">
        <v>4</v>
      </c>
      <c r="K11" s="32">
        <v>4</v>
      </c>
      <c r="L11" s="33"/>
      <c r="M11" s="33"/>
      <c r="N11" s="32">
        <v>4</v>
      </c>
      <c r="O11" s="32">
        <v>4</v>
      </c>
      <c r="P11" s="32">
        <v>4</v>
      </c>
      <c r="Q11" s="32">
        <v>4</v>
      </c>
      <c r="R11" s="38"/>
      <c r="S11" s="42"/>
      <c r="T11" s="192"/>
      <c r="U11" s="43">
        <v>4</v>
      </c>
      <c r="V11" s="32">
        <v>4</v>
      </c>
      <c r="W11" s="32">
        <v>4</v>
      </c>
      <c r="X11" s="29">
        <f t="shared" si="6"/>
        <v>1</v>
      </c>
      <c r="Y11" s="34"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ref="Y12:Y15" si="7">NETWORKDAYS($I$3,$W$3,$W$3)</f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560</v>
      </c>
      <c r="E16" s="194">
        <f t="shared" si="8"/>
        <v>560</v>
      </c>
      <c r="F16" s="194">
        <f t="shared" si="8"/>
        <v>460</v>
      </c>
      <c r="G16" s="194">
        <f t="shared" si="8"/>
        <v>460</v>
      </c>
      <c r="H16" s="194">
        <f t="shared" si="8"/>
        <v>0</v>
      </c>
      <c r="I16" s="194">
        <f t="shared" si="8"/>
        <v>0</v>
      </c>
      <c r="J16" s="194">
        <f t="shared" si="8"/>
        <v>48</v>
      </c>
      <c r="K16" s="194">
        <f t="shared" si="8"/>
        <v>48</v>
      </c>
      <c r="L16" s="194">
        <f t="shared" si="8"/>
        <v>0</v>
      </c>
      <c r="M16" s="194">
        <f t="shared" si="8"/>
        <v>0</v>
      </c>
      <c r="N16" s="194">
        <f t="shared" si="8"/>
        <v>48</v>
      </c>
      <c r="O16" s="194">
        <f t="shared" si="8"/>
        <v>48</v>
      </c>
      <c r="P16" s="194">
        <f t="shared" si="8"/>
        <v>48</v>
      </c>
      <c r="Q16" s="194">
        <f t="shared" si="8"/>
        <v>48</v>
      </c>
      <c r="R16" s="194">
        <f t="shared" si="8"/>
        <v>44</v>
      </c>
      <c r="S16" s="194">
        <f t="shared" si="8"/>
        <v>0</v>
      </c>
      <c r="T16" s="194">
        <f t="shared" si="8"/>
        <v>0</v>
      </c>
      <c r="U16" s="194">
        <f t="shared" si="8"/>
        <v>40</v>
      </c>
      <c r="V16" s="194">
        <f t="shared" si="8"/>
        <v>40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5" t="s">
        <v>1</v>
      </c>
      <c r="B19" s="265" t="s">
        <v>2</v>
      </c>
      <c r="C19" s="265" t="s">
        <v>3</v>
      </c>
      <c r="D19" s="265" t="s">
        <v>4</v>
      </c>
      <c r="E19" s="270" t="s">
        <v>5</v>
      </c>
      <c r="F19" s="271"/>
      <c r="G19" s="271"/>
      <c r="H19" s="272"/>
      <c r="I19" s="44">
        <f>W3+1</f>
        <v>45673</v>
      </c>
      <c r="J19" s="44">
        <f t="shared" ref="J19:X19" si="9">I19+1</f>
        <v>45674</v>
      </c>
      <c r="K19" s="44">
        <f t="shared" si="9"/>
        <v>45675</v>
      </c>
      <c r="L19" s="14">
        <f t="shared" si="9"/>
        <v>45676</v>
      </c>
      <c r="M19" s="44">
        <f t="shared" si="9"/>
        <v>45677</v>
      </c>
      <c r="N19" s="44">
        <f t="shared" si="9"/>
        <v>45678</v>
      </c>
      <c r="O19" s="44">
        <f t="shared" si="9"/>
        <v>45679</v>
      </c>
      <c r="P19" s="44">
        <f t="shared" si="9"/>
        <v>45680</v>
      </c>
      <c r="Q19" s="44">
        <f t="shared" si="9"/>
        <v>45681</v>
      </c>
      <c r="R19" s="44">
        <f t="shared" si="9"/>
        <v>45682</v>
      </c>
      <c r="S19" s="44">
        <f t="shared" si="9"/>
        <v>45683</v>
      </c>
      <c r="T19" s="44">
        <f t="shared" si="9"/>
        <v>45684</v>
      </c>
      <c r="U19" s="44">
        <f t="shared" si="9"/>
        <v>45685</v>
      </c>
      <c r="V19" s="44">
        <f t="shared" si="9"/>
        <v>45686</v>
      </c>
      <c r="W19" s="44">
        <f t="shared" si="9"/>
        <v>45687</v>
      </c>
      <c r="X19" s="44">
        <f t="shared" si="9"/>
        <v>45688</v>
      </c>
      <c r="Y19" s="265" t="s">
        <v>6</v>
      </c>
      <c r="Z19" s="265" t="s">
        <v>7</v>
      </c>
      <c r="AA19" s="13"/>
      <c r="AB19" s="15"/>
    </row>
    <row r="20" spans="1:35" ht="26.25" customHeight="1">
      <c r="A20" s="266"/>
      <c r="B20" s="266"/>
      <c r="C20" s="266"/>
      <c r="D20" s="266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Thu</v>
      </c>
      <c r="J20" s="22" t="str">
        <f t="shared" si="10"/>
        <v>Fri</v>
      </c>
      <c r="K20" s="22" t="str">
        <f t="shared" si="10"/>
        <v>Sat</v>
      </c>
      <c r="L20" s="22" t="str">
        <f t="shared" si="10"/>
        <v>Sun</v>
      </c>
      <c r="M20" s="22" t="str">
        <f t="shared" si="10"/>
        <v>Mon</v>
      </c>
      <c r="N20" s="22" t="str">
        <f t="shared" si="10"/>
        <v>Tue</v>
      </c>
      <c r="O20" s="22" t="str">
        <f t="shared" si="10"/>
        <v>Wed</v>
      </c>
      <c r="P20" s="21" t="str">
        <f t="shared" si="10"/>
        <v>Thu</v>
      </c>
      <c r="Q20" s="21" t="str">
        <f t="shared" si="10"/>
        <v>Fri</v>
      </c>
      <c r="R20" s="22" t="str">
        <f t="shared" si="10"/>
        <v>Sat</v>
      </c>
      <c r="S20" s="22" t="str">
        <f t="shared" si="10"/>
        <v>Sun</v>
      </c>
      <c r="T20" s="22" t="str">
        <f t="shared" si="10"/>
        <v>Mon</v>
      </c>
      <c r="U20" s="22" t="str">
        <f t="shared" si="10"/>
        <v>Tue</v>
      </c>
      <c r="V20" s="22" t="str">
        <f t="shared" si="10"/>
        <v>Wed</v>
      </c>
      <c r="W20" s="21" t="str">
        <f t="shared" si="10"/>
        <v>Thu</v>
      </c>
      <c r="X20" s="21" t="str">
        <f t="shared" si="10"/>
        <v>Fri</v>
      </c>
      <c r="Y20" s="266"/>
      <c r="Z20" s="266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7" si="11">E21</f>
        <v>96</v>
      </c>
      <c r="E21" s="29">
        <f t="shared" ref="E21:E27" si="12">Z21*8</f>
        <v>96</v>
      </c>
      <c r="F21" s="29">
        <f t="shared" ref="F21:F27" si="13">G21+H21</f>
        <v>96</v>
      </c>
      <c r="G21" s="29">
        <f t="shared" ref="G21:G27" si="14">SUM(I21:X21)</f>
        <v>96</v>
      </c>
      <c r="H21" s="30">
        <v>0</v>
      </c>
      <c r="I21" s="32">
        <v>8</v>
      </c>
      <c r="J21" s="32">
        <v>8</v>
      </c>
      <c r="K21" s="33"/>
      <c r="L21" s="33"/>
      <c r="M21" s="32">
        <v>8</v>
      </c>
      <c r="N21" s="32">
        <v>8</v>
      </c>
      <c r="O21" s="32">
        <v>8</v>
      </c>
      <c r="P21" s="32">
        <v>8</v>
      </c>
      <c r="Q21" s="32">
        <v>8</v>
      </c>
      <c r="R21" s="33"/>
      <c r="S21" s="33"/>
      <c r="T21" s="32">
        <v>8</v>
      </c>
      <c r="U21" s="32">
        <v>8</v>
      </c>
      <c r="V21" s="46">
        <v>8</v>
      </c>
      <c r="W21" s="32">
        <v>8</v>
      </c>
      <c r="X21" s="32">
        <v>8</v>
      </c>
      <c r="Y21" s="29">
        <f t="shared" ref="Y21:Y27" si="15">Z21-COUNTA(I21:X21)</f>
        <v>0</v>
      </c>
      <c r="Z21" s="34">
        <v>12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96</v>
      </c>
      <c r="E22" s="29">
        <f t="shared" si="12"/>
        <v>96</v>
      </c>
      <c r="F22" s="29">
        <f t="shared" si="13"/>
        <v>44</v>
      </c>
      <c r="G22" s="29">
        <f t="shared" si="14"/>
        <v>44</v>
      </c>
      <c r="H22" s="30">
        <v>0</v>
      </c>
      <c r="I22" s="32">
        <v>4</v>
      </c>
      <c r="J22" s="32">
        <v>4</v>
      </c>
      <c r="K22" s="33"/>
      <c r="L22" s="33"/>
      <c r="M22" s="32">
        <v>4</v>
      </c>
      <c r="N22" s="32">
        <v>4</v>
      </c>
      <c r="O22" s="32">
        <v>4</v>
      </c>
      <c r="P22" s="38"/>
      <c r="Q22" s="32">
        <v>4</v>
      </c>
      <c r="R22" s="33"/>
      <c r="S22" s="33"/>
      <c r="T22" s="32">
        <v>4</v>
      </c>
      <c r="U22" s="32">
        <v>4</v>
      </c>
      <c r="V22" s="46">
        <v>4</v>
      </c>
      <c r="W22" s="32">
        <v>4</v>
      </c>
      <c r="X22" s="32">
        <v>4</v>
      </c>
      <c r="Y22" s="29">
        <f t="shared" si="15"/>
        <v>1</v>
      </c>
      <c r="Z22" s="34">
        <v>12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96</v>
      </c>
      <c r="E23" s="29">
        <f t="shared" si="12"/>
        <v>96</v>
      </c>
      <c r="F23" s="29">
        <f t="shared" si="13"/>
        <v>96</v>
      </c>
      <c r="G23" s="29">
        <f t="shared" si="14"/>
        <v>96</v>
      </c>
      <c r="H23" s="30">
        <v>0</v>
      </c>
      <c r="I23" s="32">
        <v>8</v>
      </c>
      <c r="J23" s="32">
        <v>8</v>
      </c>
      <c r="K23" s="33"/>
      <c r="L23" s="33"/>
      <c r="M23" s="32">
        <v>8</v>
      </c>
      <c r="N23" s="32">
        <v>8</v>
      </c>
      <c r="O23" s="32">
        <v>8</v>
      </c>
      <c r="P23" s="32">
        <v>8</v>
      </c>
      <c r="Q23" s="32">
        <v>8</v>
      </c>
      <c r="R23" s="47"/>
      <c r="S23" s="33"/>
      <c r="T23" s="32">
        <v>8</v>
      </c>
      <c r="U23" s="32">
        <v>8</v>
      </c>
      <c r="V23" s="46">
        <v>8</v>
      </c>
      <c r="W23" s="32">
        <v>8</v>
      </c>
      <c r="X23" s="32">
        <v>8</v>
      </c>
      <c r="Y23" s="29">
        <f t="shared" si="15"/>
        <v>0</v>
      </c>
      <c r="Z23" s="34">
        <v>12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96</v>
      </c>
      <c r="E24" s="29">
        <f t="shared" si="12"/>
        <v>96</v>
      </c>
      <c r="F24" s="29">
        <f t="shared" si="13"/>
        <v>96</v>
      </c>
      <c r="G24" s="29">
        <f t="shared" si="14"/>
        <v>96</v>
      </c>
      <c r="H24" s="30">
        <v>0</v>
      </c>
      <c r="I24" s="32">
        <v>8</v>
      </c>
      <c r="J24" s="32">
        <v>8</v>
      </c>
      <c r="K24" s="33"/>
      <c r="L24" s="33"/>
      <c r="M24" s="32">
        <v>8</v>
      </c>
      <c r="N24" s="32">
        <v>8</v>
      </c>
      <c r="O24" s="32">
        <v>8</v>
      </c>
      <c r="P24" s="32">
        <v>8</v>
      </c>
      <c r="Q24" s="32">
        <v>8</v>
      </c>
      <c r="R24" s="33"/>
      <c r="S24" s="33"/>
      <c r="T24" s="32">
        <v>8</v>
      </c>
      <c r="U24" s="32">
        <v>8</v>
      </c>
      <c r="V24" s="46">
        <v>8</v>
      </c>
      <c r="W24" s="32">
        <v>8</v>
      </c>
      <c r="X24" s="32">
        <v>8</v>
      </c>
      <c r="Y24" s="29">
        <f t="shared" si="15"/>
        <v>0</v>
      </c>
      <c r="Z24" s="34">
        <v>12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96</v>
      </c>
      <c r="E25" s="29">
        <f t="shared" si="12"/>
        <v>96</v>
      </c>
      <c r="F25" s="29">
        <f t="shared" si="13"/>
        <v>96</v>
      </c>
      <c r="G25" s="29">
        <f t="shared" si="14"/>
        <v>96</v>
      </c>
      <c r="H25" s="30">
        <v>0</v>
      </c>
      <c r="I25" s="32">
        <v>8</v>
      </c>
      <c r="J25" s="32">
        <v>8</v>
      </c>
      <c r="K25" s="33"/>
      <c r="L25" s="33"/>
      <c r="M25" s="32">
        <v>8</v>
      </c>
      <c r="N25" s="32">
        <v>8</v>
      </c>
      <c r="O25" s="32">
        <v>8</v>
      </c>
      <c r="P25" s="32">
        <v>8</v>
      </c>
      <c r="Q25" s="32">
        <v>8</v>
      </c>
      <c r="R25" s="47"/>
      <c r="S25" s="33"/>
      <c r="T25" s="32">
        <v>8</v>
      </c>
      <c r="U25" s="32">
        <v>8</v>
      </c>
      <c r="V25" s="46">
        <v>8</v>
      </c>
      <c r="W25" s="32">
        <v>8</v>
      </c>
      <c r="X25" s="32">
        <v>8</v>
      </c>
      <c r="Y25" s="29">
        <f t="shared" si="15"/>
        <v>0</v>
      </c>
      <c r="Z25" s="34">
        <v>12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96</v>
      </c>
      <c r="E26" s="29">
        <f t="shared" si="12"/>
        <v>96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8"/>
      <c r="K26" s="33"/>
      <c r="L26" s="33"/>
      <c r="M26" s="32">
        <v>8</v>
      </c>
      <c r="N26" s="32">
        <v>8</v>
      </c>
      <c r="O26" s="32">
        <v>8</v>
      </c>
      <c r="P26" s="32">
        <v>8</v>
      </c>
      <c r="Q26" s="32">
        <v>8</v>
      </c>
      <c r="R26" s="33"/>
      <c r="S26" s="33"/>
      <c r="T26" s="32">
        <v>8</v>
      </c>
      <c r="U26" s="32">
        <v>8</v>
      </c>
      <c r="V26" s="46">
        <v>8</v>
      </c>
      <c r="W26" s="32">
        <v>8</v>
      </c>
      <c r="X26" s="32">
        <v>8</v>
      </c>
      <c r="Y26" s="29">
        <f t="shared" si="15"/>
        <v>1</v>
      </c>
      <c r="Z26" s="34">
        <v>12</v>
      </c>
      <c r="AA26" s="13"/>
      <c r="AB26" s="15"/>
    </row>
    <row r="27" spans="1:35" ht="12.75" customHeight="1">
      <c r="A27" s="40" t="s">
        <v>21</v>
      </c>
      <c r="B27" s="41" t="s">
        <v>14</v>
      </c>
      <c r="C27" s="39">
        <v>45628</v>
      </c>
      <c r="D27" s="29">
        <f t="shared" si="11"/>
        <v>96</v>
      </c>
      <c r="E27" s="29">
        <f t="shared" si="12"/>
        <v>96</v>
      </c>
      <c r="F27" s="29">
        <f t="shared" si="13"/>
        <v>36</v>
      </c>
      <c r="G27" s="29">
        <f t="shared" si="14"/>
        <v>36</v>
      </c>
      <c r="H27" s="30">
        <v>0</v>
      </c>
      <c r="I27" s="38"/>
      <c r="J27" s="38"/>
      <c r="K27" s="33"/>
      <c r="L27" s="33"/>
      <c r="M27" s="32">
        <v>4</v>
      </c>
      <c r="N27" s="48">
        <v>4</v>
      </c>
      <c r="O27" s="48">
        <v>4</v>
      </c>
      <c r="P27" s="48">
        <v>4</v>
      </c>
      <c r="Q27" s="48">
        <v>4</v>
      </c>
      <c r="R27" s="47"/>
      <c r="S27" s="47"/>
      <c r="T27" s="48">
        <v>4</v>
      </c>
      <c r="U27" s="48">
        <v>4</v>
      </c>
      <c r="V27" s="48">
        <v>4</v>
      </c>
      <c r="W27" s="32">
        <v>4</v>
      </c>
      <c r="X27" s="38"/>
      <c r="Y27" s="29">
        <f t="shared" si="15"/>
        <v>3</v>
      </c>
      <c r="Z27" s="34">
        <v>12</v>
      </c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672</v>
      </c>
      <c r="E32" s="194">
        <f t="shared" si="16"/>
        <v>672</v>
      </c>
      <c r="F32" s="194">
        <f t="shared" si="16"/>
        <v>552</v>
      </c>
      <c r="G32" s="194">
        <f t="shared" si="16"/>
        <v>552</v>
      </c>
      <c r="H32" s="194">
        <f t="shared" si="16"/>
        <v>0</v>
      </c>
      <c r="I32" s="194">
        <f t="shared" si="16"/>
        <v>44</v>
      </c>
      <c r="J32" s="194">
        <f t="shared" si="16"/>
        <v>36</v>
      </c>
      <c r="K32" s="194">
        <f t="shared" si="16"/>
        <v>0</v>
      </c>
      <c r="L32" s="194">
        <f t="shared" si="16"/>
        <v>0</v>
      </c>
      <c r="M32" s="194">
        <f t="shared" si="16"/>
        <v>48</v>
      </c>
      <c r="N32" s="194">
        <f t="shared" si="16"/>
        <v>48</v>
      </c>
      <c r="O32" s="194">
        <f t="shared" si="16"/>
        <v>48</v>
      </c>
      <c r="P32" s="194">
        <f t="shared" si="16"/>
        <v>44</v>
      </c>
      <c r="Q32" s="194">
        <f t="shared" si="16"/>
        <v>48</v>
      </c>
      <c r="R32" s="194">
        <f t="shared" si="16"/>
        <v>0</v>
      </c>
      <c r="S32" s="194">
        <f t="shared" si="16"/>
        <v>0</v>
      </c>
      <c r="T32" s="194">
        <f t="shared" si="16"/>
        <v>48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176</v>
      </c>
      <c r="C36" s="60">
        <f t="shared" ref="C36:C42" si="18">E5+E21</f>
        <v>176</v>
      </c>
      <c r="D36" s="61">
        <f t="shared" ref="D36:D42" si="19">B36</f>
        <v>176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84</v>
      </c>
      <c r="C37" s="60">
        <f t="shared" si="18"/>
        <v>176</v>
      </c>
      <c r="D37" s="61">
        <f t="shared" si="19"/>
        <v>84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176</v>
      </c>
      <c r="C38" s="60">
        <f t="shared" si="18"/>
        <v>176</v>
      </c>
      <c r="D38" s="61">
        <f t="shared" si="19"/>
        <v>176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160</v>
      </c>
      <c r="C39" s="60">
        <f t="shared" si="18"/>
        <v>176</v>
      </c>
      <c r="D39" s="61">
        <f t="shared" si="19"/>
        <v>160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176</v>
      </c>
      <c r="C40" s="60">
        <f t="shared" si="18"/>
        <v>176</v>
      </c>
      <c r="D40" s="61">
        <f t="shared" si="19"/>
        <v>176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168</v>
      </c>
      <c r="C41" s="67">
        <f t="shared" si="18"/>
        <v>176</v>
      </c>
      <c r="D41" s="68">
        <f t="shared" si="19"/>
        <v>168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customHeight="1">
      <c r="A42" s="69" t="s">
        <v>21</v>
      </c>
      <c r="B42" s="66">
        <f t="shared" ref="B42:B46" si="20">G11+G27</f>
        <v>72</v>
      </c>
      <c r="C42" s="67">
        <f t="shared" si="18"/>
        <v>176</v>
      </c>
      <c r="D42" s="68">
        <f t="shared" si="19"/>
        <v>72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1">B43</f>
        <v>0</v>
      </c>
      <c r="D43" s="61">
        <f t="shared" si="21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2">B44</f>
        <v>0</v>
      </c>
      <c r="D44" s="61">
        <f t="shared" si="22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3">B45</f>
        <v>0</v>
      </c>
      <c r="D45" s="61">
        <f t="shared" si="23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4">B46</f>
        <v>0</v>
      </c>
      <c r="D46" s="68">
        <f t="shared" si="24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7" t="s">
        <v>0</v>
      </c>
      <c r="B49" s="268"/>
      <c r="C49" s="269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5">B51-B52</f>
        <v>10</v>
      </c>
      <c r="C53" s="81">
        <f t="shared" si="25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7" t="s">
        <v>22</v>
      </c>
      <c r="B56" s="268"/>
      <c r="C56" s="269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12</v>
      </c>
      <c r="C58" s="79">
        <f t="shared" ref="C58:C59" si="26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6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7">B58-B59</f>
        <v>12</v>
      </c>
      <c r="C60" s="81">
        <f t="shared" si="27"/>
        <v>96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176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  <row r="998" ht="13"/>
    <row r="999" ht="13"/>
    <row r="1000" ht="13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A86E8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baseColWidth="10" defaultColWidth="12.5" defaultRowHeight="15.75" customHeight="1"/>
  <cols>
    <col min="1" max="1" width="23.5" customWidth="1"/>
    <col min="2" max="2" width="11.83203125" customWidth="1"/>
    <col min="3" max="3" width="18.83203125" customWidth="1"/>
    <col min="4" max="4" width="10.5" customWidth="1"/>
    <col min="5" max="5" width="8.5" customWidth="1"/>
    <col min="6" max="6" width="7.5" customWidth="1"/>
    <col min="7" max="7" width="9.5" customWidth="1"/>
    <col min="8" max="8" width="9" customWidth="1"/>
    <col min="9" max="9" width="6.33203125" customWidth="1"/>
    <col min="10" max="11" width="6.5" customWidth="1"/>
    <col min="12" max="12" width="5.83203125" customWidth="1"/>
    <col min="13" max="14" width="6.5" customWidth="1"/>
    <col min="15" max="15" width="6.1640625" customWidth="1"/>
    <col min="16" max="16" width="6.33203125" customWidth="1"/>
    <col min="17" max="20" width="6.5" customWidth="1"/>
    <col min="21" max="21" width="6.6640625" customWidth="1"/>
    <col min="22" max="22" width="6.33203125" customWidth="1"/>
    <col min="23" max="23" width="6.5" customWidth="1"/>
    <col min="24" max="24" width="9.33203125" customWidth="1"/>
    <col min="25" max="25" width="9.5" customWidth="1"/>
    <col min="26" max="26" width="9.33203125" customWidth="1"/>
    <col min="27" max="27" width="8.6640625" customWidth="1"/>
    <col min="28" max="28" width="15.33203125" customWidth="1"/>
    <col min="29" max="29" width="14" customWidth="1"/>
    <col min="30" max="30" width="7.5" customWidth="1"/>
    <col min="31" max="31" width="17.6640625" customWidth="1"/>
    <col min="32" max="35" width="7.5" customWidth="1"/>
  </cols>
  <sheetData>
    <row r="1" spans="1:35" ht="15.75" customHeight="1">
      <c r="A1" s="1"/>
      <c r="B1" s="2"/>
      <c r="C1" s="3">
        <v>45323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5" t="s">
        <v>1</v>
      </c>
      <c r="B3" s="265" t="s">
        <v>2</v>
      </c>
      <c r="C3" s="265" t="s">
        <v>3</v>
      </c>
      <c r="D3" s="265" t="s">
        <v>4</v>
      </c>
      <c r="E3" s="270" t="s">
        <v>5</v>
      </c>
      <c r="F3" s="271"/>
      <c r="G3" s="271"/>
      <c r="H3" s="272"/>
      <c r="I3" s="14">
        <f>C1</f>
        <v>45323</v>
      </c>
      <c r="J3" s="14">
        <f t="shared" ref="J3:W3" si="0">I3+1</f>
        <v>45324</v>
      </c>
      <c r="K3" s="14">
        <f t="shared" si="0"/>
        <v>45325</v>
      </c>
      <c r="L3" s="14">
        <f t="shared" si="0"/>
        <v>45326</v>
      </c>
      <c r="M3" s="14">
        <f t="shared" si="0"/>
        <v>45327</v>
      </c>
      <c r="N3" s="14">
        <f t="shared" si="0"/>
        <v>45328</v>
      </c>
      <c r="O3" s="14">
        <f t="shared" si="0"/>
        <v>45329</v>
      </c>
      <c r="P3" s="14">
        <f t="shared" si="0"/>
        <v>45330</v>
      </c>
      <c r="Q3" s="14">
        <f t="shared" si="0"/>
        <v>45331</v>
      </c>
      <c r="R3" s="14">
        <f t="shared" si="0"/>
        <v>45332</v>
      </c>
      <c r="S3" s="14">
        <f t="shared" si="0"/>
        <v>45333</v>
      </c>
      <c r="T3" s="14">
        <f t="shared" si="0"/>
        <v>45334</v>
      </c>
      <c r="U3" s="14">
        <f t="shared" si="0"/>
        <v>45335</v>
      </c>
      <c r="V3" s="14">
        <f t="shared" si="0"/>
        <v>45336</v>
      </c>
      <c r="W3" s="14">
        <f t="shared" si="0"/>
        <v>45337</v>
      </c>
      <c r="X3" s="265" t="s">
        <v>6</v>
      </c>
      <c r="Y3" s="265" t="s">
        <v>7</v>
      </c>
      <c r="Z3" s="13"/>
      <c r="AA3" s="15"/>
      <c r="AB3" s="15"/>
    </row>
    <row r="4" spans="1:35" ht="26.25" customHeight="1">
      <c r="A4" s="266"/>
      <c r="B4" s="266"/>
      <c r="C4" s="266"/>
      <c r="D4" s="266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Thu</v>
      </c>
      <c r="J4" s="21" t="str">
        <f t="shared" si="1"/>
        <v>Fri</v>
      </c>
      <c r="K4" s="21" t="str">
        <f t="shared" si="1"/>
        <v>Sat</v>
      </c>
      <c r="L4" s="22" t="str">
        <f t="shared" si="1"/>
        <v>Sun</v>
      </c>
      <c r="M4" s="22" t="str">
        <f t="shared" si="1"/>
        <v>Mon</v>
      </c>
      <c r="N4" s="20" t="str">
        <f t="shared" si="1"/>
        <v>Tue</v>
      </c>
      <c r="O4" s="20" t="str">
        <f t="shared" si="1"/>
        <v>Wed</v>
      </c>
      <c r="P4" s="22" t="str">
        <f t="shared" si="1"/>
        <v>Thu</v>
      </c>
      <c r="Q4" s="22" t="str">
        <f t="shared" si="1"/>
        <v>Fri</v>
      </c>
      <c r="R4" s="22" t="str">
        <f t="shared" si="1"/>
        <v>Sat</v>
      </c>
      <c r="S4" s="22" t="str">
        <f t="shared" si="1"/>
        <v>Sun</v>
      </c>
      <c r="T4" s="22" t="str">
        <f t="shared" si="1"/>
        <v>Mon</v>
      </c>
      <c r="U4" s="22" t="str">
        <f t="shared" si="1"/>
        <v>Tue</v>
      </c>
      <c r="V4" s="22" t="str">
        <f t="shared" si="1"/>
        <v>Wed</v>
      </c>
      <c r="W4" s="22" t="str">
        <f t="shared" si="1"/>
        <v>Thu</v>
      </c>
      <c r="X4" s="266"/>
      <c r="Y4" s="266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1" si="2">E5</f>
        <v>88</v>
      </c>
      <c r="E5" s="29">
        <f t="shared" ref="E5:E11" si="3">Y5*8</f>
        <v>88</v>
      </c>
      <c r="F5" s="29">
        <f t="shared" ref="F5:F11" si="4">G5+H5</f>
        <v>88</v>
      </c>
      <c r="G5" s="29">
        <f t="shared" ref="G5:G11" si="5">SUM(I5:W5)</f>
        <v>88</v>
      </c>
      <c r="H5" s="30">
        <v>0</v>
      </c>
      <c r="I5" s="32">
        <v>8</v>
      </c>
      <c r="J5" s="32">
        <v>8</v>
      </c>
      <c r="K5" s="33"/>
      <c r="L5" s="33"/>
      <c r="M5" s="32">
        <v>8</v>
      </c>
      <c r="N5" s="32">
        <v>8</v>
      </c>
      <c r="O5" s="32">
        <v>8</v>
      </c>
      <c r="P5" s="32">
        <v>8</v>
      </c>
      <c r="Q5" s="32">
        <v>8</v>
      </c>
      <c r="R5" s="33"/>
      <c r="S5" s="33"/>
      <c r="T5" s="32">
        <v>8</v>
      </c>
      <c r="U5" s="32">
        <v>8</v>
      </c>
      <c r="V5" s="32">
        <v>8</v>
      </c>
      <c r="W5" s="32">
        <v>8</v>
      </c>
      <c r="X5" s="29">
        <f t="shared" ref="X5:X15" si="6">Y5-COUNTA(I5:W5)</f>
        <v>0</v>
      </c>
      <c r="Y5" s="34">
        <v>11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88</v>
      </c>
      <c r="E6" s="29">
        <f t="shared" si="3"/>
        <v>88</v>
      </c>
      <c r="F6" s="29">
        <f t="shared" si="4"/>
        <v>88</v>
      </c>
      <c r="G6" s="29">
        <f t="shared" si="5"/>
        <v>88</v>
      </c>
      <c r="H6" s="30">
        <v>0</v>
      </c>
      <c r="I6" s="32">
        <v>8</v>
      </c>
      <c r="J6" s="32">
        <v>8</v>
      </c>
      <c r="K6" s="33"/>
      <c r="L6" s="33"/>
      <c r="M6" s="32">
        <v>8</v>
      </c>
      <c r="N6" s="32">
        <v>8</v>
      </c>
      <c r="O6" s="32">
        <v>8</v>
      </c>
      <c r="P6" s="32">
        <v>8</v>
      </c>
      <c r="Q6" s="32">
        <v>8</v>
      </c>
      <c r="R6" s="33"/>
      <c r="S6" s="33"/>
      <c r="T6" s="32">
        <v>8</v>
      </c>
      <c r="U6" s="32">
        <v>8</v>
      </c>
      <c r="V6" s="32">
        <v>8</v>
      </c>
      <c r="W6" s="32">
        <v>8</v>
      </c>
      <c r="X6" s="29">
        <f t="shared" si="6"/>
        <v>0</v>
      </c>
      <c r="Y6" s="34">
        <v>11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88</v>
      </c>
      <c r="E7" s="29">
        <f t="shared" si="3"/>
        <v>88</v>
      </c>
      <c r="F7" s="29">
        <f t="shared" si="4"/>
        <v>88</v>
      </c>
      <c r="G7" s="29">
        <f t="shared" si="5"/>
        <v>88</v>
      </c>
      <c r="H7" s="30">
        <v>0</v>
      </c>
      <c r="I7" s="32">
        <v>8</v>
      </c>
      <c r="J7" s="32">
        <v>8</v>
      </c>
      <c r="K7" s="33"/>
      <c r="L7" s="33"/>
      <c r="M7" s="32">
        <v>8</v>
      </c>
      <c r="N7" s="32">
        <v>8</v>
      </c>
      <c r="O7" s="32">
        <v>8</v>
      </c>
      <c r="P7" s="32">
        <v>8</v>
      </c>
      <c r="Q7" s="32">
        <v>8</v>
      </c>
      <c r="R7" s="33"/>
      <c r="S7" s="33"/>
      <c r="T7" s="32">
        <v>8</v>
      </c>
      <c r="U7" s="32">
        <v>8</v>
      </c>
      <c r="V7" s="32">
        <v>8</v>
      </c>
      <c r="W7" s="32">
        <v>8</v>
      </c>
      <c r="X7" s="29">
        <f t="shared" si="6"/>
        <v>0</v>
      </c>
      <c r="Y7" s="34">
        <v>11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88</v>
      </c>
      <c r="E8" s="29">
        <f t="shared" si="3"/>
        <v>88</v>
      </c>
      <c r="F8" s="29">
        <f t="shared" si="4"/>
        <v>80</v>
      </c>
      <c r="G8" s="29">
        <f t="shared" si="5"/>
        <v>80</v>
      </c>
      <c r="H8" s="30">
        <v>0</v>
      </c>
      <c r="I8" s="32">
        <v>8</v>
      </c>
      <c r="J8" s="32">
        <v>8</v>
      </c>
      <c r="K8" s="33"/>
      <c r="L8" s="33"/>
      <c r="M8" s="32">
        <v>8</v>
      </c>
      <c r="N8" s="32">
        <v>8</v>
      </c>
      <c r="O8" s="32">
        <v>8</v>
      </c>
      <c r="P8" s="32">
        <v>8</v>
      </c>
      <c r="Q8" s="32">
        <v>8</v>
      </c>
      <c r="R8" s="33"/>
      <c r="S8" s="33"/>
      <c r="T8" s="38"/>
      <c r="U8" s="32">
        <v>8</v>
      </c>
      <c r="V8" s="32">
        <v>8</v>
      </c>
      <c r="W8" s="32">
        <v>8</v>
      </c>
      <c r="X8" s="29">
        <f t="shared" si="6"/>
        <v>1</v>
      </c>
      <c r="Y8" s="34">
        <v>11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88</v>
      </c>
      <c r="E9" s="29">
        <f t="shared" si="3"/>
        <v>88</v>
      </c>
      <c r="F9" s="29">
        <f t="shared" si="4"/>
        <v>88</v>
      </c>
      <c r="G9" s="29">
        <f t="shared" si="5"/>
        <v>88</v>
      </c>
      <c r="H9" s="30">
        <v>0</v>
      </c>
      <c r="I9" s="32">
        <v>8</v>
      </c>
      <c r="J9" s="32">
        <v>8</v>
      </c>
      <c r="K9" s="33"/>
      <c r="L9" s="33"/>
      <c r="M9" s="32">
        <v>8</v>
      </c>
      <c r="N9" s="32">
        <v>8</v>
      </c>
      <c r="O9" s="32">
        <v>8</v>
      </c>
      <c r="P9" s="32">
        <v>8</v>
      </c>
      <c r="Q9" s="32">
        <v>8</v>
      </c>
      <c r="R9" s="33"/>
      <c r="S9" s="33"/>
      <c r="T9" s="32">
        <v>8</v>
      </c>
      <c r="U9" s="32">
        <v>8</v>
      </c>
      <c r="V9" s="32">
        <v>8</v>
      </c>
      <c r="W9" s="32">
        <v>8</v>
      </c>
      <c r="X9" s="29">
        <f t="shared" si="6"/>
        <v>0</v>
      </c>
      <c r="Y9" s="34">
        <v>11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88</v>
      </c>
      <c r="E10" s="29">
        <f t="shared" si="3"/>
        <v>88</v>
      </c>
      <c r="F10" s="29">
        <f t="shared" si="4"/>
        <v>80</v>
      </c>
      <c r="G10" s="29">
        <f t="shared" si="5"/>
        <v>80</v>
      </c>
      <c r="H10" s="30">
        <v>0</v>
      </c>
      <c r="I10" s="32">
        <v>8</v>
      </c>
      <c r="J10" s="32">
        <v>8</v>
      </c>
      <c r="K10" s="33"/>
      <c r="L10" s="33"/>
      <c r="M10" s="32">
        <v>8</v>
      </c>
      <c r="N10" s="32">
        <v>8</v>
      </c>
      <c r="O10" s="32">
        <v>8</v>
      </c>
      <c r="P10" s="32">
        <v>8</v>
      </c>
      <c r="Q10" s="32">
        <v>8</v>
      </c>
      <c r="R10" s="33"/>
      <c r="S10" s="33"/>
      <c r="T10" s="38"/>
      <c r="U10" s="32">
        <v>8</v>
      </c>
      <c r="V10" s="32">
        <v>8</v>
      </c>
      <c r="W10" s="32">
        <v>8</v>
      </c>
      <c r="X10" s="29">
        <f t="shared" si="6"/>
        <v>1</v>
      </c>
      <c r="Y10" s="34">
        <v>11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customHeight="1">
      <c r="A11" s="40" t="s">
        <v>21</v>
      </c>
      <c r="B11" s="41" t="s">
        <v>14</v>
      </c>
      <c r="C11" s="39">
        <v>45628</v>
      </c>
      <c r="D11" s="29">
        <f t="shared" si="2"/>
        <v>80</v>
      </c>
      <c r="E11" s="29">
        <f t="shared" si="3"/>
        <v>80</v>
      </c>
      <c r="F11" s="29">
        <f t="shared" si="4"/>
        <v>0</v>
      </c>
      <c r="G11" s="29">
        <f t="shared" si="5"/>
        <v>0</v>
      </c>
      <c r="H11" s="30">
        <v>0</v>
      </c>
      <c r="I11" s="31"/>
      <c r="J11" s="32"/>
      <c r="K11" s="32"/>
      <c r="L11" s="33"/>
      <c r="M11" s="33"/>
      <c r="N11" s="32"/>
      <c r="O11" s="32"/>
      <c r="P11" s="32"/>
      <c r="Q11" s="32"/>
      <c r="R11" s="32"/>
      <c r="S11" s="42"/>
      <c r="T11" s="192"/>
      <c r="U11" s="43"/>
      <c r="V11" s="32"/>
      <c r="W11" s="32"/>
      <c r="X11" s="29">
        <f t="shared" si="6"/>
        <v>10</v>
      </c>
      <c r="Y11" s="34"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ref="Y12:Y15" si="7">NETWORKDAYS($I$3,$W$3,$W$3)</f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608</v>
      </c>
      <c r="E16" s="194">
        <f t="shared" si="8"/>
        <v>608</v>
      </c>
      <c r="F16" s="194">
        <f t="shared" si="8"/>
        <v>512</v>
      </c>
      <c r="G16" s="194">
        <f t="shared" si="8"/>
        <v>512</v>
      </c>
      <c r="H16" s="194">
        <f t="shared" si="8"/>
        <v>0</v>
      </c>
      <c r="I16" s="194">
        <f t="shared" si="8"/>
        <v>48</v>
      </c>
      <c r="J16" s="194">
        <f t="shared" si="8"/>
        <v>48</v>
      </c>
      <c r="K16" s="194">
        <f t="shared" si="8"/>
        <v>0</v>
      </c>
      <c r="L16" s="194">
        <f t="shared" si="8"/>
        <v>0</v>
      </c>
      <c r="M16" s="194">
        <f t="shared" si="8"/>
        <v>48</v>
      </c>
      <c r="N16" s="194">
        <f t="shared" si="8"/>
        <v>48</v>
      </c>
      <c r="O16" s="194">
        <f t="shared" si="8"/>
        <v>48</v>
      </c>
      <c r="P16" s="194">
        <f t="shared" si="8"/>
        <v>48</v>
      </c>
      <c r="Q16" s="194">
        <f t="shared" si="8"/>
        <v>48</v>
      </c>
      <c r="R16" s="194">
        <f t="shared" si="8"/>
        <v>0</v>
      </c>
      <c r="S16" s="194">
        <f t="shared" si="8"/>
        <v>0</v>
      </c>
      <c r="T16" s="194">
        <f t="shared" si="8"/>
        <v>32</v>
      </c>
      <c r="U16" s="194">
        <f t="shared" si="8"/>
        <v>48</v>
      </c>
      <c r="V16" s="194">
        <f t="shared" si="8"/>
        <v>48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5" t="s">
        <v>1</v>
      </c>
      <c r="B19" s="265" t="s">
        <v>2</v>
      </c>
      <c r="C19" s="265" t="s">
        <v>3</v>
      </c>
      <c r="D19" s="265" t="s">
        <v>4</v>
      </c>
      <c r="E19" s="270" t="s">
        <v>5</v>
      </c>
      <c r="F19" s="271"/>
      <c r="G19" s="271"/>
      <c r="H19" s="272"/>
      <c r="I19" s="44">
        <f>W3+1</f>
        <v>45338</v>
      </c>
      <c r="J19" s="44">
        <f t="shared" ref="J19:V19" si="9">I19+1</f>
        <v>45339</v>
      </c>
      <c r="K19" s="44">
        <f t="shared" si="9"/>
        <v>45340</v>
      </c>
      <c r="L19" s="14">
        <f t="shared" si="9"/>
        <v>45341</v>
      </c>
      <c r="M19" s="44">
        <f t="shared" si="9"/>
        <v>45342</v>
      </c>
      <c r="N19" s="44">
        <f t="shared" si="9"/>
        <v>45343</v>
      </c>
      <c r="O19" s="44">
        <f t="shared" si="9"/>
        <v>45344</v>
      </c>
      <c r="P19" s="44">
        <f t="shared" si="9"/>
        <v>45345</v>
      </c>
      <c r="Q19" s="44">
        <f t="shared" si="9"/>
        <v>45346</v>
      </c>
      <c r="R19" s="44">
        <f t="shared" si="9"/>
        <v>45347</v>
      </c>
      <c r="S19" s="44">
        <f t="shared" si="9"/>
        <v>45348</v>
      </c>
      <c r="T19" s="44">
        <f t="shared" si="9"/>
        <v>45349</v>
      </c>
      <c r="U19" s="44">
        <f t="shared" si="9"/>
        <v>45350</v>
      </c>
      <c r="V19" s="44">
        <f t="shared" si="9"/>
        <v>45351</v>
      </c>
      <c r="W19" s="91"/>
      <c r="X19" s="91"/>
      <c r="Y19" s="265" t="s">
        <v>6</v>
      </c>
      <c r="Z19" s="265" t="s">
        <v>7</v>
      </c>
      <c r="AA19" s="13"/>
      <c r="AB19" s="15"/>
    </row>
    <row r="20" spans="1:35" ht="26.25" customHeight="1">
      <c r="A20" s="266"/>
      <c r="B20" s="266"/>
      <c r="C20" s="266"/>
      <c r="D20" s="266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V20" si="10">IF(I19="","",TEXT(WEEKDAY(I19), "ddd"))</f>
        <v>Fri</v>
      </c>
      <c r="J20" s="22" t="str">
        <f t="shared" si="10"/>
        <v>Sat</v>
      </c>
      <c r="K20" s="22" t="str">
        <f t="shared" si="10"/>
        <v>Sun</v>
      </c>
      <c r="L20" s="22" t="str">
        <f t="shared" si="10"/>
        <v>Mon</v>
      </c>
      <c r="M20" s="22" t="str">
        <f t="shared" si="10"/>
        <v>Tue</v>
      </c>
      <c r="N20" s="22" t="str">
        <f t="shared" si="10"/>
        <v>Wed</v>
      </c>
      <c r="O20" s="22" t="str">
        <f t="shared" si="10"/>
        <v>Thu</v>
      </c>
      <c r="P20" s="21" t="str">
        <f t="shared" si="10"/>
        <v>Fri</v>
      </c>
      <c r="Q20" s="21" t="str">
        <f t="shared" si="10"/>
        <v>Sat</v>
      </c>
      <c r="R20" s="22" t="str">
        <f t="shared" si="10"/>
        <v>Sun</v>
      </c>
      <c r="S20" s="22" t="str">
        <f t="shared" si="10"/>
        <v>Mon</v>
      </c>
      <c r="T20" s="22" t="str">
        <f t="shared" si="10"/>
        <v>Tue</v>
      </c>
      <c r="U20" s="22" t="str">
        <f t="shared" si="10"/>
        <v>Wed</v>
      </c>
      <c r="V20" s="22" t="str">
        <f t="shared" si="10"/>
        <v>Thu</v>
      </c>
      <c r="W20" s="32"/>
      <c r="X20" s="32"/>
      <c r="Y20" s="266"/>
      <c r="Z20" s="266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7" si="11">E21</f>
        <v>80</v>
      </c>
      <c r="E21" s="29">
        <f t="shared" ref="E21:E27" si="12">Z21*8</f>
        <v>80</v>
      </c>
      <c r="F21" s="29">
        <f t="shared" ref="F21:F27" si="13">G21+H21</f>
        <v>80</v>
      </c>
      <c r="G21" s="29">
        <f t="shared" ref="G21:G27" si="14">SUM(I21:X21)</f>
        <v>80</v>
      </c>
      <c r="H21" s="30">
        <v>0</v>
      </c>
      <c r="I21" s="32">
        <v>8</v>
      </c>
      <c r="J21" s="33"/>
      <c r="K21" s="33"/>
      <c r="L21" s="32">
        <v>8</v>
      </c>
      <c r="M21" s="32">
        <v>8</v>
      </c>
      <c r="N21" s="32">
        <v>8</v>
      </c>
      <c r="O21" s="32">
        <v>8</v>
      </c>
      <c r="P21" s="32">
        <v>8</v>
      </c>
      <c r="Q21" s="33"/>
      <c r="R21" s="33"/>
      <c r="S21" s="32">
        <v>8</v>
      </c>
      <c r="T21" s="32">
        <v>8</v>
      </c>
      <c r="U21" s="32">
        <v>8</v>
      </c>
      <c r="V21" s="46">
        <v>8</v>
      </c>
      <c r="W21" s="32"/>
      <c r="X21" s="32"/>
      <c r="Y21" s="29">
        <f t="shared" ref="Y21:Y27" si="15">Z21-COUNTA(I21:X21)</f>
        <v>0</v>
      </c>
      <c r="Z21" s="34">
        <v>10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80</v>
      </c>
      <c r="E22" s="29">
        <f t="shared" si="12"/>
        <v>80</v>
      </c>
      <c r="F22" s="29">
        <f t="shared" si="13"/>
        <v>64</v>
      </c>
      <c r="G22" s="29">
        <f t="shared" si="14"/>
        <v>64</v>
      </c>
      <c r="H22" s="30">
        <v>0</v>
      </c>
      <c r="I22" s="32">
        <v>8</v>
      </c>
      <c r="J22" s="33"/>
      <c r="K22" s="33"/>
      <c r="L22" s="32">
        <v>8</v>
      </c>
      <c r="M22" s="32">
        <v>8</v>
      </c>
      <c r="N22" s="38"/>
      <c r="O22" s="32">
        <v>8</v>
      </c>
      <c r="P22" s="38"/>
      <c r="Q22" s="33"/>
      <c r="R22" s="33"/>
      <c r="S22" s="32">
        <v>8</v>
      </c>
      <c r="T22" s="32">
        <v>8</v>
      </c>
      <c r="U22" s="32">
        <v>8</v>
      </c>
      <c r="V22" s="46">
        <v>8</v>
      </c>
      <c r="W22" s="32"/>
      <c r="X22" s="32"/>
      <c r="Y22" s="29">
        <f t="shared" si="15"/>
        <v>2</v>
      </c>
      <c r="Z22" s="34">
        <v>10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80</v>
      </c>
      <c r="E23" s="29">
        <f t="shared" si="12"/>
        <v>80</v>
      </c>
      <c r="F23" s="29">
        <f t="shared" si="13"/>
        <v>72</v>
      </c>
      <c r="G23" s="29">
        <f t="shared" si="14"/>
        <v>72</v>
      </c>
      <c r="H23" s="30">
        <v>0</v>
      </c>
      <c r="I23" s="32">
        <v>8</v>
      </c>
      <c r="J23" s="33"/>
      <c r="K23" s="33"/>
      <c r="L23" s="32">
        <v>8</v>
      </c>
      <c r="M23" s="32">
        <v>8</v>
      </c>
      <c r="N23" s="32">
        <v>8</v>
      </c>
      <c r="O23" s="32">
        <v>8</v>
      </c>
      <c r="P23" s="32">
        <v>8</v>
      </c>
      <c r="Q23" s="33"/>
      <c r="R23" s="47"/>
      <c r="S23" s="32">
        <v>8</v>
      </c>
      <c r="T23" s="38"/>
      <c r="U23" s="32">
        <v>8</v>
      </c>
      <c r="V23" s="46">
        <v>8</v>
      </c>
      <c r="W23" s="32"/>
      <c r="X23" s="32"/>
      <c r="Y23" s="29">
        <f t="shared" si="15"/>
        <v>1</v>
      </c>
      <c r="Z23" s="34">
        <v>10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80</v>
      </c>
      <c r="E24" s="29">
        <f t="shared" si="12"/>
        <v>80</v>
      </c>
      <c r="F24" s="29">
        <f t="shared" si="13"/>
        <v>80</v>
      </c>
      <c r="G24" s="29">
        <f t="shared" si="14"/>
        <v>80</v>
      </c>
      <c r="H24" s="30">
        <v>0</v>
      </c>
      <c r="I24" s="32">
        <v>8</v>
      </c>
      <c r="J24" s="33"/>
      <c r="K24" s="33"/>
      <c r="L24" s="32">
        <v>8</v>
      </c>
      <c r="M24" s="32">
        <v>8</v>
      </c>
      <c r="N24" s="32">
        <v>8</v>
      </c>
      <c r="O24" s="32">
        <v>8</v>
      </c>
      <c r="P24" s="32">
        <v>8</v>
      </c>
      <c r="Q24" s="33"/>
      <c r="R24" s="33"/>
      <c r="S24" s="32">
        <v>8</v>
      </c>
      <c r="T24" s="32">
        <v>8</v>
      </c>
      <c r="U24" s="32">
        <v>8</v>
      </c>
      <c r="V24" s="46">
        <v>8</v>
      </c>
      <c r="W24" s="32"/>
      <c r="X24" s="32"/>
      <c r="Y24" s="29">
        <f t="shared" si="15"/>
        <v>0</v>
      </c>
      <c r="Z24" s="34">
        <v>10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80</v>
      </c>
      <c r="E25" s="29">
        <f t="shared" si="12"/>
        <v>80</v>
      </c>
      <c r="F25" s="29">
        <f t="shared" si="13"/>
        <v>80</v>
      </c>
      <c r="G25" s="29">
        <f t="shared" si="14"/>
        <v>80</v>
      </c>
      <c r="H25" s="30">
        <v>0</v>
      </c>
      <c r="I25" s="32">
        <v>8</v>
      </c>
      <c r="J25" s="33"/>
      <c r="K25" s="33"/>
      <c r="L25" s="32">
        <v>8</v>
      </c>
      <c r="M25" s="32">
        <v>8</v>
      </c>
      <c r="N25" s="32">
        <v>8</v>
      </c>
      <c r="O25" s="32">
        <v>8</v>
      </c>
      <c r="P25" s="32">
        <v>8</v>
      </c>
      <c r="Q25" s="33"/>
      <c r="R25" s="47"/>
      <c r="S25" s="32">
        <v>8</v>
      </c>
      <c r="T25" s="32">
        <v>8</v>
      </c>
      <c r="U25" s="32">
        <v>8</v>
      </c>
      <c r="V25" s="46">
        <v>8</v>
      </c>
      <c r="W25" s="32"/>
      <c r="X25" s="32"/>
      <c r="Y25" s="29">
        <f t="shared" si="15"/>
        <v>0</v>
      </c>
      <c r="Z25" s="34">
        <v>10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80</v>
      </c>
      <c r="E26" s="29">
        <f t="shared" si="12"/>
        <v>80</v>
      </c>
      <c r="F26" s="29">
        <f t="shared" si="13"/>
        <v>80</v>
      </c>
      <c r="G26" s="29">
        <f t="shared" si="14"/>
        <v>80</v>
      </c>
      <c r="H26" s="30">
        <v>0</v>
      </c>
      <c r="I26" s="32">
        <v>8</v>
      </c>
      <c r="J26" s="33"/>
      <c r="K26" s="33"/>
      <c r="L26" s="32">
        <v>8</v>
      </c>
      <c r="M26" s="32">
        <v>8</v>
      </c>
      <c r="N26" s="32">
        <v>8</v>
      </c>
      <c r="O26" s="32">
        <v>8</v>
      </c>
      <c r="P26" s="32">
        <v>8</v>
      </c>
      <c r="Q26" s="33"/>
      <c r="R26" s="33"/>
      <c r="S26" s="32">
        <v>8</v>
      </c>
      <c r="T26" s="32">
        <v>8</v>
      </c>
      <c r="U26" s="32">
        <v>8</v>
      </c>
      <c r="V26" s="46">
        <v>8</v>
      </c>
      <c r="W26" s="32"/>
      <c r="X26" s="32"/>
      <c r="Y26" s="29">
        <f t="shared" si="15"/>
        <v>0</v>
      </c>
      <c r="Z26" s="34">
        <v>10</v>
      </c>
      <c r="AA26" s="13"/>
      <c r="AB26" s="15"/>
    </row>
    <row r="27" spans="1:35" ht="12.75" customHeight="1">
      <c r="A27" s="40" t="s">
        <v>21</v>
      </c>
      <c r="B27" s="41" t="s">
        <v>14</v>
      </c>
      <c r="C27" s="39">
        <v>45628</v>
      </c>
      <c r="D27" s="29">
        <f t="shared" si="11"/>
        <v>96</v>
      </c>
      <c r="E27" s="29">
        <f t="shared" si="12"/>
        <v>96</v>
      </c>
      <c r="F27" s="29">
        <f t="shared" si="13"/>
        <v>0</v>
      </c>
      <c r="G27" s="29">
        <f t="shared" si="14"/>
        <v>0</v>
      </c>
      <c r="H27" s="30">
        <v>0</v>
      </c>
      <c r="I27" s="32"/>
      <c r="J27" s="32"/>
      <c r="K27" s="33"/>
      <c r="L27" s="33"/>
      <c r="M27" s="32"/>
      <c r="N27" s="48"/>
      <c r="O27" s="48"/>
      <c r="P27" s="48"/>
      <c r="Q27" s="48"/>
      <c r="R27" s="47"/>
      <c r="S27" s="47"/>
      <c r="T27" s="48"/>
      <c r="U27" s="48"/>
      <c r="V27" s="48"/>
      <c r="W27" s="32"/>
      <c r="X27" s="32"/>
      <c r="Y27" s="29">
        <f t="shared" si="15"/>
        <v>12</v>
      </c>
      <c r="Z27" s="34">
        <v>12</v>
      </c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576</v>
      </c>
      <c r="E32" s="194">
        <f t="shared" si="16"/>
        <v>576</v>
      </c>
      <c r="F32" s="194">
        <f t="shared" si="16"/>
        <v>456</v>
      </c>
      <c r="G32" s="194">
        <f t="shared" si="16"/>
        <v>456</v>
      </c>
      <c r="H32" s="194">
        <f t="shared" si="16"/>
        <v>0</v>
      </c>
      <c r="I32" s="194">
        <f t="shared" si="16"/>
        <v>48</v>
      </c>
      <c r="J32" s="194">
        <f t="shared" si="16"/>
        <v>0</v>
      </c>
      <c r="K32" s="194">
        <f t="shared" si="16"/>
        <v>0</v>
      </c>
      <c r="L32" s="194">
        <f t="shared" si="16"/>
        <v>48</v>
      </c>
      <c r="M32" s="194">
        <f t="shared" si="16"/>
        <v>48</v>
      </c>
      <c r="N32" s="194">
        <f t="shared" si="16"/>
        <v>40</v>
      </c>
      <c r="O32" s="194">
        <f t="shared" si="16"/>
        <v>48</v>
      </c>
      <c r="P32" s="194">
        <f t="shared" si="16"/>
        <v>40</v>
      </c>
      <c r="Q32" s="194">
        <f t="shared" si="16"/>
        <v>0</v>
      </c>
      <c r="R32" s="194">
        <f t="shared" si="16"/>
        <v>0</v>
      </c>
      <c r="S32" s="194">
        <f t="shared" si="16"/>
        <v>48</v>
      </c>
      <c r="T32" s="194">
        <f t="shared" si="16"/>
        <v>40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168</v>
      </c>
      <c r="C36" s="60">
        <f t="shared" ref="C36:C42" si="18">E5+E21</f>
        <v>168</v>
      </c>
      <c r="D36" s="61">
        <f t="shared" ref="D36:D42" si="19">B36</f>
        <v>168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152</v>
      </c>
      <c r="C37" s="60">
        <f t="shared" si="18"/>
        <v>168</v>
      </c>
      <c r="D37" s="61">
        <f t="shared" si="19"/>
        <v>152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160</v>
      </c>
      <c r="C38" s="60">
        <f t="shared" si="18"/>
        <v>168</v>
      </c>
      <c r="D38" s="61">
        <f t="shared" si="19"/>
        <v>160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160</v>
      </c>
      <c r="C39" s="60">
        <f t="shared" si="18"/>
        <v>168</v>
      </c>
      <c r="D39" s="61">
        <f t="shared" si="19"/>
        <v>160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168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168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customHeight="1">
      <c r="A42" s="69" t="s">
        <v>21</v>
      </c>
      <c r="B42" s="66">
        <f t="shared" ref="B42:B46" si="20">G11+G27</f>
        <v>0</v>
      </c>
      <c r="C42" s="67">
        <f t="shared" si="18"/>
        <v>176</v>
      </c>
      <c r="D42" s="68">
        <f t="shared" si="19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1">B43</f>
        <v>0</v>
      </c>
      <c r="D43" s="61">
        <f t="shared" si="21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2">B44</f>
        <v>0</v>
      </c>
      <c r="D44" s="61">
        <f t="shared" si="22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3">B45</f>
        <v>0</v>
      </c>
      <c r="D45" s="61">
        <f t="shared" si="23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4">B46</f>
        <v>0</v>
      </c>
      <c r="D46" s="68">
        <f t="shared" si="24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7" t="s">
        <v>0</v>
      </c>
      <c r="B49" s="268"/>
      <c r="C49" s="269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5">B51-B52</f>
        <v>11</v>
      </c>
      <c r="C53" s="81">
        <f t="shared" si="25"/>
        <v>88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7" t="s">
        <v>22</v>
      </c>
      <c r="B56" s="268"/>
      <c r="C56" s="269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10</v>
      </c>
      <c r="C58" s="79">
        <f t="shared" ref="C58:C59" si="26">B58*8</f>
        <v>80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6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7">B58-B59</f>
        <v>10</v>
      </c>
      <c r="C60" s="81">
        <f t="shared" si="27"/>
        <v>80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  <row r="998" ht="13"/>
    <row r="999" ht="13"/>
    <row r="1000" ht="13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900F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baseColWidth="10" defaultColWidth="12.5" defaultRowHeight="15.75" customHeight="1"/>
  <cols>
    <col min="1" max="1" width="23.5" customWidth="1"/>
    <col min="2" max="2" width="11.83203125" customWidth="1"/>
    <col min="3" max="3" width="18.83203125" customWidth="1"/>
    <col min="4" max="4" width="10.5" customWidth="1"/>
    <col min="5" max="5" width="8.5" customWidth="1"/>
    <col min="6" max="6" width="7.5" customWidth="1"/>
    <col min="7" max="7" width="9.5" customWidth="1"/>
    <col min="8" max="8" width="9" customWidth="1"/>
    <col min="9" max="9" width="6.33203125" customWidth="1"/>
    <col min="10" max="11" width="6.5" customWidth="1"/>
    <col min="12" max="12" width="5.83203125" customWidth="1"/>
    <col min="13" max="14" width="6.5" customWidth="1"/>
    <col min="15" max="15" width="6.1640625" customWidth="1"/>
    <col min="16" max="16" width="6.33203125" customWidth="1"/>
    <col min="17" max="20" width="6.5" customWidth="1"/>
    <col min="21" max="21" width="6.6640625" customWidth="1"/>
    <col min="22" max="22" width="6.33203125" customWidth="1"/>
    <col min="23" max="23" width="6.5" customWidth="1"/>
    <col min="24" max="24" width="9.33203125" customWidth="1"/>
    <col min="25" max="25" width="9.5" customWidth="1"/>
    <col min="26" max="26" width="9.33203125" customWidth="1"/>
    <col min="27" max="27" width="8.6640625" customWidth="1"/>
    <col min="28" max="28" width="15.33203125" customWidth="1"/>
    <col min="29" max="29" width="14" customWidth="1"/>
    <col min="30" max="30" width="7.5" customWidth="1"/>
    <col min="31" max="31" width="17.6640625" customWidth="1"/>
    <col min="32" max="35" width="7.5" customWidth="1"/>
  </cols>
  <sheetData>
    <row r="1" spans="1:35" ht="15.75" customHeight="1">
      <c r="A1" s="1"/>
      <c r="B1" s="2"/>
      <c r="C1" s="3">
        <v>45352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5" t="s">
        <v>1</v>
      </c>
      <c r="B3" s="265" t="s">
        <v>2</v>
      </c>
      <c r="C3" s="265" t="s">
        <v>3</v>
      </c>
      <c r="D3" s="265" t="s">
        <v>4</v>
      </c>
      <c r="E3" s="270" t="s">
        <v>5</v>
      </c>
      <c r="F3" s="271"/>
      <c r="G3" s="271"/>
      <c r="H3" s="272"/>
      <c r="I3" s="14">
        <f>C1</f>
        <v>45352</v>
      </c>
      <c r="J3" s="14">
        <f t="shared" ref="J3:W3" si="0">I3+1</f>
        <v>45353</v>
      </c>
      <c r="K3" s="14">
        <f t="shared" si="0"/>
        <v>45354</v>
      </c>
      <c r="L3" s="14">
        <f t="shared" si="0"/>
        <v>45355</v>
      </c>
      <c r="M3" s="14">
        <f t="shared" si="0"/>
        <v>45356</v>
      </c>
      <c r="N3" s="14">
        <f t="shared" si="0"/>
        <v>45357</v>
      </c>
      <c r="O3" s="14">
        <f t="shared" si="0"/>
        <v>45358</v>
      </c>
      <c r="P3" s="14">
        <f t="shared" si="0"/>
        <v>45359</v>
      </c>
      <c r="Q3" s="14">
        <f t="shared" si="0"/>
        <v>45360</v>
      </c>
      <c r="R3" s="14">
        <f t="shared" si="0"/>
        <v>45361</v>
      </c>
      <c r="S3" s="14">
        <f t="shared" si="0"/>
        <v>45362</v>
      </c>
      <c r="T3" s="14">
        <f t="shared" si="0"/>
        <v>45363</v>
      </c>
      <c r="U3" s="14">
        <f t="shared" si="0"/>
        <v>45364</v>
      </c>
      <c r="V3" s="14">
        <f t="shared" si="0"/>
        <v>45365</v>
      </c>
      <c r="W3" s="14">
        <f t="shared" si="0"/>
        <v>45366</v>
      </c>
      <c r="X3" s="265" t="s">
        <v>6</v>
      </c>
      <c r="Y3" s="265" t="s">
        <v>7</v>
      </c>
      <c r="Z3" s="13"/>
      <c r="AA3" s="15"/>
      <c r="AB3" s="15"/>
    </row>
    <row r="4" spans="1:35" ht="26.25" customHeight="1">
      <c r="A4" s="266"/>
      <c r="B4" s="266"/>
      <c r="C4" s="266"/>
      <c r="D4" s="266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Fri</v>
      </c>
      <c r="J4" s="21" t="str">
        <f t="shared" si="1"/>
        <v>Sat</v>
      </c>
      <c r="K4" s="21" t="str">
        <f t="shared" si="1"/>
        <v>Sun</v>
      </c>
      <c r="L4" s="22" t="str">
        <f t="shared" si="1"/>
        <v>Mon</v>
      </c>
      <c r="M4" s="22" t="str">
        <f t="shared" si="1"/>
        <v>Tue</v>
      </c>
      <c r="N4" s="20" t="str">
        <f t="shared" si="1"/>
        <v>Wed</v>
      </c>
      <c r="O4" s="20" t="str">
        <f t="shared" si="1"/>
        <v>Thu</v>
      </c>
      <c r="P4" s="22" t="str">
        <f t="shared" si="1"/>
        <v>Fri</v>
      </c>
      <c r="Q4" s="22" t="str">
        <f t="shared" si="1"/>
        <v>Sat</v>
      </c>
      <c r="R4" s="22" t="str">
        <f t="shared" si="1"/>
        <v>Sun</v>
      </c>
      <c r="S4" s="22" t="str">
        <f t="shared" si="1"/>
        <v>Mon</v>
      </c>
      <c r="T4" s="22" t="str">
        <f t="shared" si="1"/>
        <v>Tue</v>
      </c>
      <c r="U4" s="22" t="str">
        <f t="shared" si="1"/>
        <v>Wed</v>
      </c>
      <c r="V4" s="22" t="str">
        <f t="shared" si="1"/>
        <v>Thu</v>
      </c>
      <c r="W4" s="22" t="str">
        <f t="shared" si="1"/>
        <v>Fri</v>
      </c>
      <c r="X4" s="266"/>
      <c r="Y4" s="266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1" si="2">E5</f>
        <v>88</v>
      </c>
      <c r="E5" s="29">
        <f t="shared" ref="E5:E11" si="3">Y5*8</f>
        <v>88</v>
      </c>
      <c r="F5" s="29">
        <f t="shared" ref="F5:F11" si="4">G5+H5</f>
        <v>80</v>
      </c>
      <c r="G5" s="29">
        <f t="shared" ref="G5:G11" si="5">SUM(I5:W5)</f>
        <v>80</v>
      </c>
      <c r="H5" s="30">
        <v>0</v>
      </c>
      <c r="I5" s="32">
        <v>8</v>
      </c>
      <c r="J5" s="33"/>
      <c r="K5" s="33"/>
      <c r="L5" s="32">
        <v>8</v>
      </c>
      <c r="M5" s="32">
        <v>8</v>
      </c>
      <c r="N5" s="32">
        <v>8</v>
      </c>
      <c r="O5" s="32">
        <v>8</v>
      </c>
      <c r="P5" s="32">
        <v>8</v>
      </c>
      <c r="Q5" s="33"/>
      <c r="R5" s="33"/>
      <c r="S5" s="32">
        <v>8</v>
      </c>
      <c r="T5" s="32">
        <v>8</v>
      </c>
      <c r="U5" s="32">
        <v>8</v>
      </c>
      <c r="V5" s="38"/>
      <c r="W5" s="32">
        <v>8</v>
      </c>
      <c r="X5" s="29">
        <f t="shared" ref="X5:X15" si="6">Y5-COUNTA(I5:W5)</f>
        <v>1</v>
      </c>
      <c r="Y5" s="34">
        <v>11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88</v>
      </c>
      <c r="E6" s="29">
        <f t="shared" si="3"/>
        <v>88</v>
      </c>
      <c r="F6" s="29">
        <f t="shared" si="4"/>
        <v>72</v>
      </c>
      <c r="G6" s="29">
        <f t="shared" si="5"/>
        <v>72</v>
      </c>
      <c r="H6" s="30">
        <v>0</v>
      </c>
      <c r="I6" s="32">
        <v>8</v>
      </c>
      <c r="J6" s="33"/>
      <c r="K6" s="33"/>
      <c r="L6" s="32">
        <v>8</v>
      </c>
      <c r="M6" s="38"/>
      <c r="N6" s="38"/>
      <c r="O6" s="32">
        <v>8</v>
      </c>
      <c r="P6" s="32">
        <v>8</v>
      </c>
      <c r="Q6" s="33"/>
      <c r="R6" s="33"/>
      <c r="S6" s="32">
        <v>8</v>
      </c>
      <c r="T6" s="32">
        <v>8</v>
      </c>
      <c r="U6" s="32">
        <v>8</v>
      </c>
      <c r="V6" s="32">
        <v>8</v>
      </c>
      <c r="W6" s="32">
        <v>8</v>
      </c>
      <c r="X6" s="29">
        <f t="shared" si="6"/>
        <v>2</v>
      </c>
      <c r="Y6" s="34">
        <v>11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88</v>
      </c>
      <c r="E7" s="29">
        <f t="shared" si="3"/>
        <v>88</v>
      </c>
      <c r="F7" s="29">
        <f t="shared" si="4"/>
        <v>88</v>
      </c>
      <c r="G7" s="29">
        <f t="shared" si="5"/>
        <v>88</v>
      </c>
      <c r="H7" s="30">
        <v>0</v>
      </c>
      <c r="I7" s="32">
        <v>8</v>
      </c>
      <c r="J7" s="33"/>
      <c r="K7" s="33"/>
      <c r="L7" s="32">
        <v>8</v>
      </c>
      <c r="M7" s="32">
        <v>8</v>
      </c>
      <c r="N7" s="32">
        <v>8</v>
      </c>
      <c r="O7" s="32">
        <v>8</v>
      </c>
      <c r="P7" s="32">
        <v>8</v>
      </c>
      <c r="Q7" s="33"/>
      <c r="R7" s="33"/>
      <c r="S7" s="32">
        <v>8</v>
      </c>
      <c r="T7" s="32">
        <v>8</v>
      </c>
      <c r="U7" s="32">
        <v>8</v>
      </c>
      <c r="V7" s="32">
        <v>8</v>
      </c>
      <c r="W7" s="32">
        <v>8</v>
      </c>
      <c r="X7" s="29">
        <f t="shared" si="6"/>
        <v>0</v>
      </c>
      <c r="Y7" s="34">
        <v>11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88</v>
      </c>
      <c r="E8" s="29">
        <f t="shared" si="3"/>
        <v>88</v>
      </c>
      <c r="F8" s="29">
        <f t="shared" si="4"/>
        <v>88</v>
      </c>
      <c r="G8" s="29">
        <f t="shared" si="5"/>
        <v>88</v>
      </c>
      <c r="H8" s="30">
        <v>0</v>
      </c>
      <c r="I8" s="32">
        <v>8</v>
      </c>
      <c r="J8" s="33"/>
      <c r="K8" s="33"/>
      <c r="L8" s="32">
        <v>8</v>
      </c>
      <c r="M8" s="32">
        <v>8</v>
      </c>
      <c r="N8" s="32">
        <v>8</v>
      </c>
      <c r="O8" s="32">
        <v>8</v>
      </c>
      <c r="P8" s="32">
        <v>8</v>
      </c>
      <c r="Q8" s="33"/>
      <c r="R8" s="33"/>
      <c r="S8" s="32">
        <v>8</v>
      </c>
      <c r="T8" s="32">
        <v>8</v>
      </c>
      <c r="U8" s="32">
        <v>8</v>
      </c>
      <c r="V8" s="32">
        <v>8</v>
      </c>
      <c r="W8" s="32">
        <v>8</v>
      </c>
      <c r="X8" s="29">
        <f t="shared" si="6"/>
        <v>0</v>
      </c>
      <c r="Y8" s="34">
        <v>11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88</v>
      </c>
      <c r="E9" s="29">
        <f t="shared" si="3"/>
        <v>88</v>
      </c>
      <c r="F9" s="29">
        <f t="shared" si="4"/>
        <v>88</v>
      </c>
      <c r="G9" s="29">
        <f t="shared" si="5"/>
        <v>88</v>
      </c>
      <c r="H9" s="30">
        <v>0</v>
      </c>
      <c r="I9" s="32">
        <v>8</v>
      </c>
      <c r="J9" s="33"/>
      <c r="K9" s="33"/>
      <c r="L9" s="32">
        <v>8</v>
      </c>
      <c r="M9" s="32">
        <v>8</v>
      </c>
      <c r="N9" s="32">
        <v>8</v>
      </c>
      <c r="O9" s="32">
        <v>8</v>
      </c>
      <c r="P9" s="32">
        <v>8</v>
      </c>
      <c r="Q9" s="33"/>
      <c r="R9" s="33"/>
      <c r="S9" s="32">
        <v>8</v>
      </c>
      <c r="T9" s="32">
        <v>8</v>
      </c>
      <c r="U9" s="32">
        <v>8</v>
      </c>
      <c r="V9" s="32">
        <v>8</v>
      </c>
      <c r="W9" s="32">
        <v>8</v>
      </c>
      <c r="X9" s="29">
        <f t="shared" si="6"/>
        <v>0</v>
      </c>
      <c r="Y9" s="34">
        <v>11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88</v>
      </c>
      <c r="E10" s="29">
        <f t="shared" si="3"/>
        <v>88</v>
      </c>
      <c r="F10" s="29">
        <f t="shared" si="4"/>
        <v>88</v>
      </c>
      <c r="G10" s="29">
        <f t="shared" si="5"/>
        <v>88</v>
      </c>
      <c r="H10" s="30">
        <v>0</v>
      </c>
      <c r="I10" s="32">
        <v>8</v>
      </c>
      <c r="J10" s="33"/>
      <c r="K10" s="33"/>
      <c r="L10" s="32">
        <v>8</v>
      </c>
      <c r="M10" s="32">
        <v>8</v>
      </c>
      <c r="N10" s="32">
        <v>8</v>
      </c>
      <c r="O10" s="32">
        <v>8</v>
      </c>
      <c r="P10" s="32">
        <v>8</v>
      </c>
      <c r="Q10" s="33"/>
      <c r="R10" s="33"/>
      <c r="S10" s="32">
        <v>8</v>
      </c>
      <c r="T10" s="32">
        <v>8</v>
      </c>
      <c r="U10" s="32">
        <v>8</v>
      </c>
      <c r="V10" s="32">
        <v>8</v>
      </c>
      <c r="W10" s="32">
        <v>8</v>
      </c>
      <c r="X10" s="29">
        <f t="shared" si="6"/>
        <v>0</v>
      </c>
      <c r="Y10" s="34">
        <v>11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customHeight="1">
      <c r="A11" s="40" t="s">
        <v>21</v>
      </c>
      <c r="B11" s="41" t="s">
        <v>14</v>
      </c>
      <c r="C11" s="39">
        <v>45628</v>
      </c>
      <c r="D11" s="29">
        <f t="shared" si="2"/>
        <v>80</v>
      </c>
      <c r="E11" s="29">
        <f t="shared" si="3"/>
        <v>80</v>
      </c>
      <c r="F11" s="29">
        <f t="shared" si="4"/>
        <v>0</v>
      </c>
      <c r="G11" s="29">
        <f t="shared" si="5"/>
        <v>0</v>
      </c>
      <c r="H11" s="30">
        <v>0</v>
      </c>
      <c r="I11" s="31"/>
      <c r="J11" s="32"/>
      <c r="K11" s="32"/>
      <c r="L11" s="33"/>
      <c r="M11" s="33"/>
      <c r="N11" s="32"/>
      <c r="O11" s="32"/>
      <c r="P11" s="32"/>
      <c r="Q11" s="32"/>
      <c r="R11" s="32"/>
      <c r="S11" s="42"/>
      <c r="T11" s="192"/>
      <c r="U11" s="43"/>
      <c r="V11" s="32"/>
      <c r="W11" s="32"/>
      <c r="X11" s="29">
        <f t="shared" si="6"/>
        <v>10</v>
      </c>
      <c r="Y11" s="34"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ref="Y12:Y15" si="7">NETWORKDAYS($I$3,$W$3,$W$3)</f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608</v>
      </c>
      <c r="E16" s="194">
        <f t="shared" si="8"/>
        <v>608</v>
      </c>
      <c r="F16" s="194">
        <f t="shared" si="8"/>
        <v>504</v>
      </c>
      <c r="G16" s="194">
        <f t="shared" si="8"/>
        <v>504</v>
      </c>
      <c r="H16" s="194">
        <f t="shared" si="8"/>
        <v>0</v>
      </c>
      <c r="I16" s="194">
        <f t="shared" si="8"/>
        <v>48</v>
      </c>
      <c r="J16" s="194">
        <f t="shared" si="8"/>
        <v>0</v>
      </c>
      <c r="K16" s="194">
        <f t="shared" si="8"/>
        <v>0</v>
      </c>
      <c r="L16" s="194">
        <f t="shared" si="8"/>
        <v>48</v>
      </c>
      <c r="M16" s="194">
        <f t="shared" si="8"/>
        <v>40</v>
      </c>
      <c r="N16" s="194">
        <f t="shared" si="8"/>
        <v>40</v>
      </c>
      <c r="O16" s="194">
        <f t="shared" si="8"/>
        <v>48</v>
      </c>
      <c r="P16" s="194">
        <f t="shared" si="8"/>
        <v>48</v>
      </c>
      <c r="Q16" s="194">
        <f t="shared" si="8"/>
        <v>0</v>
      </c>
      <c r="R16" s="194">
        <f t="shared" si="8"/>
        <v>0</v>
      </c>
      <c r="S16" s="194">
        <f t="shared" si="8"/>
        <v>48</v>
      </c>
      <c r="T16" s="194">
        <f t="shared" si="8"/>
        <v>48</v>
      </c>
      <c r="U16" s="194">
        <f t="shared" si="8"/>
        <v>48</v>
      </c>
      <c r="V16" s="194">
        <f t="shared" si="8"/>
        <v>40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5" t="s">
        <v>1</v>
      </c>
      <c r="B19" s="265" t="s">
        <v>2</v>
      </c>
      <c r="C19" s="265" t="s">
        <v>3</v>
      </c>
      <c r="D19" s="265" t="s">
        <v>4</v>
      </c>
      <c r="E19" s="270" t="s">
        <v>5</v>
      </c>
      <c r="F19" s="271"/>
      <c r="G19" s="271"/>
      <c r="H19" s="272"/>
      <c r="I19" s="44">
        <f>W3+1</f>
        <v>45367</v>
      </c>
      <c r="J19" s="44">
        <f t="shared" ref="J19:X19" si="9">I19+1</f>
        <v>45368</v>
      </c>
      <c r="K19" s="44">
        <f t="shared" si="9"/>
        <v>45369</v>
      </c>
      <c r="L19" s="14">
        <f t="shared" si="9"/>
        <v>45370</v>
      </c>
      <c r="M19" s="44">
        <f t="shared" si="9"/>
        <v>45371</v>
      </c>
      <c r="N19" s="44">
        <f t="shared" si="9"/>
        <v>45372</v>
      </c>
      <c r="O19" s="44">
        <f t="shared" si="9"/>
        <v>45373</v>
      </c>
      <c r="P19" s="44">
        <f t="shared" si="9"/>
        <v>45374</v>
      </c>
      <c r="Q19" s="44">
        <f t="shared" si="9"/>
        <v>45375</v>
      </c>
      <c r="R19" s="44">
        <f t="shared" si="9"/>
        <v>45376</v>
      </c>
      <c r="S19" s="44">
        <f t="shared" si="9"/>
        <v>45377</v>
      </c>
      <c r="T19" s="44">
        <f t="shared" si="9"/>
        <v>45378</v>
      </c>
      <c r="U19" s="44">
        <f t="shared" si="9"/>
        <v>45379</v>
      </c>
      <c r="V19" s="44">
        <f t="shared" si="9"/>
        <v>45380</v>
      </c>
      <c r="W19" s="44">
        <f t="shared" si="9"/>
        <v>45381</v>
      </c>
      <c r="X19" s="44">
        <f t="shared" si="9"/>
        <v>45382</v>
      </c>
      <c r="Y19" s="265" t="s">
        <v>6</v>
      </c>
      <c r="Z19" s="265" t="s">
        <v>7</v>
      </c>
      <c r="AA19" s="13"/>
      <c r="AB19" s="15"/>
    </row>
    <row r="20" spans="1:35" ht="26.25" customHeight="1">
      <c r="A20" s="266"/>
      <c r="B20" s="266"/>
      <c r="C20" s="266"/>
      <c r="D20" s="266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Sat</v>
      </c>
      <c r="J20" s="22" t="str">
        <f t="shared" si="10"/>
        <v>Sun</v>
      </c>
      <c r="K20" s="22" t="str">
        <f t="shared" si="10"/>
        <v>Mon</v>
      </c>
      <c r="L20" s="22" t="str">
        <f t="shared" si="10"/>
        <v>Tue</v>
      </c>
      <c r="M20" s="22" t="str">
        <f t="shared" si="10"/>
        <v>Wed</v>
      </c>
      <c r="N20" s="22" t="str">
        <f t="shared" si="10"/>
        <v>Thu</v>
      </c>
      <c r="O20" s="22" t="str">
        <f t="shared" si="10"/>
        <v>Fri</v>
      </c>
      <c r="P20" s="21" t="str">
        <f t="shared" si="10"/>
        <v>Sat</v>
      </c>
      <c r="Q20" s="21" t="str">
        <f t="shared" si="10"/>
        <v>Sun</v>
      </c>
      <c r="R20" s="22" t="str">
        <f t="shared" si="10"/>
        <v>Mon</v>
      </c>
      <c r="S20" s="22" t="str">
        <f t="shared" si="10"/>
        <v>Tue</v>
      </c>
      <c r="T20" s="22" t="str">
        <f t="shared" si="10"/>
        <v>Wed</v>
      </c>
      <c r="U20" s="22" t="str">
        <f t="shared" si="10"/>
        <v>Thu</v>
      </c>
      <c r="V20" s="22" t="str">
        <f t="shared" si="10"/>
        <v>Fri</v>
      </c>
      <c r="W20" s="22" t="str">
        <f t="shared" si="10"/>
        <v>Sat</v>
      </c>
      <c r="X20" s="22" t="str">
        <f t="shared" si="10"/>
        <v>Sun</v>
      </c>
      <c r="Y20" s="266"/>
      <c r="Z20" s="266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7" si="11">E21</f>
        <v>72</v>
      </c>
      <c r="E21" s="29">
        <f t="shared" ref="E21:E26" si="12">Z21*8</f>
        <v>72</v>
      </c>
      <c r="F21" s="29">
        <f t="shared" ref="F21:F27" si="13">G21+H21</f>
        <v>64</v>
      </c>
      <c r="G21" s="29">
        <f t="shared" ref="G21:G26" si="14">SUM(I21:X21)</f>
        <v>64</v>
      </c>
      <c r="H21" s="30">
        <v>0</v>
      </c>
      <c r="I21" s="33"/>
      <c r="J21" s="33"/>
      <c r="K21" s="32">
        <v>8</v>
      </c>
      <c r="L21" s="32">
        <v>8</v>
      </c>
      <c r="M21" s="32">
        <v>8</v>
      </c>
      <c r="N21" s="38"/>
      <c r="O21" s="32">
        <v>8</v>
      </c>
      <c r="P21" s="33"/>
      <c r="Q21" s="33"/>
      <c r="R21" s="31"/>
      <c r="S21" s="32">
        <v>8</v>
      </c>
      <c r="T21" s="32">
        <v>8</v>
      </c>
      <c r="U21" s="32">
        <v>8</v>
      </c>
      <c r="V21" s="46">
        <v>8</v>
      </c>
      <c r="W21" s="33"/>
      <c r="X21" s="33"/>
      <c r="Y21" s="29">
        <f t="shared" ref="Y21:Y26" si="15">Z21-COUNTA(I21:X21)</f>
        <v>1</v>
      </c>
      <c r="Z21" s="34">
        <v>9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72</v>
      </c>
      <c r="E22" s="29">
        <f t="shared" si="12"/>
        <v>72</v>
      </c>
      <c r="F22" s="29">
        <f t="shared" si="13"/>
        <v>64</v>
      </c>
      <c r="G22" s="29">
        <f t="shared" si="14"/>
        <v>64</v>
      </c>
      <c r="H22" s="30">
        <v>0</v>
      </c>
      <c r="I22" s="33"/>
      <c r="J22" s="33"/>
      <c r="K22" s="32">
        <v>8</v>
      </c>
      <c r="L22" s="38"/>
      <c r="M22" s="32">
        <v>8</v>
      </c>
      <c r="N22" s="32">
        <v>8</v>
      </c>
      <c r="O22" s="32">
        <v>8</v>
      </c>
      <c r="P22" s="33"/>
      <c r="Q22" s="33"/>
      <c r="R22" s="31"/>
      <c r="S22" s="32">
        <v>8</v>
      </c>
      <c r="T22" s="32">
        <v>8</v>
      </c>
      <c r="U22" s="32">
        <v>8</v>
      </c>
      <c r="V22" s="46">
        <v>8</v>
      </c>
      <c r="W22" s="33"/>
      <c r="X22" s="33"/>
      <c r="Y22" s="29">
        <f t="shared" si="15"/>
        <v>1</v>
      </c>
      <c r="Z22" s="34">
        <v>9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72</v>
      </c>
      <c r="E23" s="29">
        <f t="shared" si="12"/>
        <v>72</v>
      </c>
      <c r="F23" s="29">
        <f t="shared" si="13"/>
        <v>64</v>
      </c>
      <c r="G23" s="29">
        <f t="shared" si="14"/>
        <v>64</v>
      </c>
      <c r="H23" s="30">
        <v>0</v>
      </c>
      <c r="I23" s="33"/>
      <c r="J23" s="33"/>
      <c r="K23" s="38"/>
      <c r="L23" s="32">
        <v>8</v>
      </c>
      <c r="M23" s="32">
        <v>8</v>
      </c>
      <c r="N23" s="32">
        <v>8</v>
      </c>
      <c r="O23" s="32">
        <v>8</v>
      </c>
      <c r="P23" s="33"/>
      <c r="Q23" s="33"/>
      <c r="R23" s="92"/>
      <c r="S23" s="32">
        <v>8</v>
      </c>
      <c r="T23" s="32">
        <v>8</v>
      </c>
      <c r="U23" s="32">
        <v>8</v>
      </c>
      <c r="V23" s="46">
        <v>8</v>
      </c>
      <c r="W23" s="33"/>
      <c r="X23" s="33"/>
      <c r="Y23" s="29">
        <f t="shared" si="15"/>
        <v>1</v>
      </c>
      <c r="Z23" s="34">
        <v>9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72</v>
      </c>
      <c r="E24" s="29">
        <f t="shared" si="12"/>
        <v>72</v>
      </c>
      <c r="F24" s="29">
        <f t="shared" si="13"/>
        <v>64</v>
      </c>
      <c r="G24" s="29">
        <f t="shared" si="14"/>
        <v>64</v>
      </c>
      <c r="H24" s="30">
        <v>0</v>
      </c>
      <c r="I24" s="33"/>
      <c r="J24" s="33"/>
      <c r="K24" s="32">
        <v>8</v>
      </c>
      <c r="L24" s="32">
        <v>8</v>
      </c>
      <c r="M24" s="32">
        <v>8</v>
      </c>
      <c r="N24" s="32">
        <v>8</v>
      </c>
      <c r="O24" s="32">
        <v>8</v>
      </c>
      <c r="P24" s="33"/>
      <c r="Q24" s="33"/>
      <c r="R24" s="31"/>
      <c r="S24" s="32">
        <v>8</v>
      </c>
      <c r="T24" s="32">
        <v>8</v>
      </c>
      <c r="U24" s="38"/>
      <c r="V24" s="46">
        <v>8</v>
      </c>
      <c r="W24" s="33"/>
      <c r="X24" s="33"/>
      <c r="Y24" s="29">
        <f t="shared" si="15"/>
        <v>1</v>
      </c>
      <c r="Z24" s="34">
        <v>9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72</v>
      </c>
      <c r="E25" s="29">
        <f t="shared" si="12"/>
        <v>72</v>
      </c>
      <c r="F25" s="29">
        <f t="shared" si="13"/>
        <v>72</v>
      </c>
      <c r="G25" s="29">
        <f t="shared" si="14"/>
        <v>72</v>
      </c>
      <c r="H25" s="30">
        <v>0</v>
      </c>
      <c r="I25" s="33"/>
      <c r="J25" s="33"/>
      <c r="K25" s="32">
        <v>8</v>
      </c>
      <c r="L25" s="32">
        <v>8</v>
      </c>
      <c r="M25" s="32">
        <v>8</v>
      </c>
      <c r="N25" s="32">
        <v>8</v>
      </c>
      <c r="O25" s="32">
        <v>8</v>
      </c>
      <c r="P25" s="33"/>
      <c r="Q25" s="33"/>
      <c r="R25" s="92"/>
      <c r="S25" s="32">
        <v>8</v>
      </c>
      <c r="T25" s="32">
        <v>8</v>
      </c>
      <c r="U25" s="32">
        <v>8</v>
      </c>
      <c r="V25" s="46">
        <v>8</v>
      </c>
      <c r="W25" s="33"/>
      <c r="X25" s="33"/>
      <c r="Y25" s="29">
        <f t="shared" si="15"/>
        <v>0</v>
      </c>
      <c r="Z25" s="34">
        <v>9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72</v>
      </c>
      <c r="E26" s="29">
        <f t="shared" si="12"/>
        <v>72</v>
      </c>
      <c r="F26" s="29">
        <f t="shared" si="13"/>
        <v>48</v>
      </c>
      <c r="G26" s="29">
        <f t="shared" si="14"/>
        <v>48</v>
      </c>
      <c r="H26" s="30">
        <v>0</v>
      </c>
      <c r="I26" s="33"/>
      <c r="J26" s="33"/>
      <c r="K26" s="32">
        <v>8</v>
      </c>
      <c r="L26" s="32">
        <v>8</v>
      </c>
      <c r="M26" s="32">
        <v>8</v>
      </c>
      <c r="N26" s="32">
        <v>8</v>
      </c>
      <c r="O26" s="32">
        <v>8</v>
      </c>
      <c r="P26" s="33"/>
      <c r="Q26" s="33"/>
      <c r="R26" s="31"/>
      <c r="S26" s="38"/>
      <c r="T26" s="38"/>
      <c r="U26" s="32">
        <v>8</v>
      </c>
      <c r="V26" s="38"/>
      <c r="W26" s="33"/>
      <c r="X26" s="33"/>
      <c r="Y26" s="29">
        <f t="shared" si="15"/>
        <v>3</v>
      </c>
      <c r="Z26" s="34">
        <v>9</v>
      </c>
      <c r="AA26" s="13"/>
      <c r="AB26" s="15"/>
    </row>
    <row r="27" spans="1:35" ht="12.75" customHeight="1">
      <c r="A27" s="40" t="s">
        <v>21</v>
      </c>
      <c r="B27" s="41" t="s">
        <v>14</v>
      </c>
      <c r="C27" s="39">
        <v>45628</v>
      </c>
      <c r="D27" s="29">
        <f t="shared" si="11"/>
        <v>80</v>
      </c>
      <c r="E27" s="29">
        <f>Y27*8</f>
        <v>80</v>
      </c>
      <c r="F27" s="29">
        <f t="shared" si="13"/>
        <v>0</v>
      </c>
      <c r="G27" s="29">
        <f>SUM(I27:W27)</f>
        <v>0</v>
      </c>
      <c r="H27" s="30">
        <v>0</v>
      </c>
      <c r="I27" s="31"/>
      <c r="J27" s="32"/>
      <c r="K27" s="32"/>
      <c r="L27" s="33"/>
      <c r="M27" s="33"/>
      <c r="N27" s="32"/>
      <c r="O27" s="32"/>
      <c r="P27" s="32"/>
      <c r="Q27" s="32"/>
      <c r="R27" s="32"/>
      <c r="S27" s="42"/>
      <c r="T27" s="192"/>
      <c r="U27" s="43"/>
      <c r="V27" s="32"/>
      <c r="W27" s="32"/>
      <c r="X27" s="29">
        <f>Y27-COUNTA(I27:W27)</f>
        <v>10</v>
      </c>
      <c r="Y27" s="34">
        <v>10</v>
      </c>
      <c r="Z27" s="13"/>
      <c r="AA27" s="15"/>
      <c r="AB27" s="24"/>
      <c r="AC27" s="25"/>
      <c r="AD27" s="25"/>
      <c r="AE27" s="25"/>
      <c r="AF27" s="25"/>
      <c r="AG27" s="2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512</v>
      </c>
      <c r="E32" s="194">
        <f t="shared" si="16"/>
        <v>512</v>
      </c>
      <c r="F32" s="194">
        <f t="shared" si="16"/>
        <v>376</v>
      </c>
      <c r="G32" s="194">
        <f t="shared" si="16"/>
        <v>376</v>
      </c>
      <c r="H32" s="194">
        <f t="shared" si="16"/>
        <v>0</v>
      </c>
      <c r="I32" s="194">
        <f t="shared" si="16"/>
        <v>0</v>
      </c>
      <c r="J32" s="194">
        <f t="shared" si="16"/>
        <v>0</v>
      </c>
      <c r="K32" s="194">
        <f t="shared" si="16"/>
        <v>40</v>
      </c>
      <c r="L32" s="194">
        <f t="shared" si="16"/>
        <v>40</v>
      </c>
      <c r="M32" s="194">
        <f t="shared" si="16"/>
        <v>48</v>
      </c>
      <c r="N32" s="194">
        <f t="shared" si="16"/>
        <v>40</v>
      </c>
      <c r="O32" s="194">
        <f t="shared" si="16"/>
        <v>48</v>
      </c>
      <c r="P32" s="194">
        <f t="shared" si="16"/>
        <v>0</v>
      </c>
      <c r="Q32" s="194">
        <f t="shared" si="16"/>
        <v>0</v>
      </c>
      <c r="R32" s="194">
        <f t="shared" si="16"/>
        <v>0</v>
      </c>
      <c r="S32" s="194">
        <f t="shared" si="16"/>
        <v>40</v>
      </c>
      <c r="T32" s="194">
        <f t="shared" si="16"/>
        <v>40</v>
      </c>
      <c r="U32" s="194">
        <f t="shared" si="16"/>
        <v>40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144</v>
      </c>
      <c r="C36" s="60">
        <f t="shared" ref="C36:C42" si="18">E5+E21</f>
        <v>160</v>
      </c>
      <c r="D36" s="61">
        <f t="shared" ref="D36:D42" si="19">B36</f>
        <v>144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136</v>
      </c>
      <c r="C37" s="60">
        <f t="shared" si="18"/>
        <v>160</v>
      </c>
      <c r="D37" s="61">
        <f t="shared" si="19"/>
        <v>136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160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152</v>
      </c>
      <c r="C39" s="60">
        <f t="shared" si="18"/>
        <v>160</v>
      </c>
      <c r="D39" s="61">
        <f t="shared" si="19"/>
        <v>152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160</v>
      </c>
      <c r="C40" s="60">
        <f t="shared" si="18"/>
        <v>160</v>
      </c>
      <c r="D40" s="61">
        <f t="shared" si="19"/>
        <v>160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136</v>
      </c>
      <c r="C41" s="67">
        <f t="shared" si="18"/>
        <v>160</v>
      </c>
      <c r="D41" s="68">
        <f t="shared" si="19"/>
        <v>136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customHeight="1">
      <c r="A42" s="69" t="s">
        <v>21</v>
      </c>
      <c r="B42" s="66">
        <f t="shared" ref="B42:B46" si="20">G11+G27</f>
        <v>0</v>
      </c>
      <c r="C42" s="67">
        <f t="shared" si="18"/>
        <v>160</v>
      </c>
      <c r="D42" s="68">
        <f t="shared" si="19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1">B43</f>
        <v>0</v>
      </c>
      <c r="D43" s="61">
        <f t="shared" si="21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2">B44</f>
        <v>0</v>
      </c>
      <c r="D44" s="61">
        <f t="shared" si="22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3">B45</f>
        <v>0</v>
      </c>
      <c r="D45" s="61">
        <f t="shared" si="23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4">B46</f>
        <v>0</v>
      </c>
      <c r="D46" s="68">
        <f t="shared" si="24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7" t="s">
        <v>0</v>
      </c>
      <c r="B49" s="268"/>
      <c r="C49" s="269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5">B51-B52</f>
        <v>11</v>
      </c>
      <c r="C53" s="81">
        <f t="shared" si="25"/>
        <v>88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7" t="s">
        <v>22</v>
      </c>
      <c r="B56" s="268"/>
      <c r="C56" s="269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10</v>
      </c>
      <c r="C58" s="79">
        <f t="shared" ref="C58:C59" si="26">B58*8</f>
        <v>80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1</v>
      </c>
      <c r="C59" s="79">
        <f t="shared" si="26"/>
        <v>8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7">B58-B59</f>
        <v>9</v>
      </c>
      <c r="C60" s="81">
        <f t="shared" si="27"/>
        <v>72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160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  <row r="998" ht="13"/>
    <row r="999" ht="13"/>
    <row r="1000" ht="13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baseColWidth="10" defaultColWidth="12.5" defaultRowHeight="15.75" customHeight="1"/>
  <cols>
    <col min="1" max="1" width="23.5" customWidth="1"/>
    <col min="2" max="2" width="11.83203125" customWidth="1"/>
    <col min="3" max="3" width="18.83203125" customWidth="1"/>
    <col min="4" max="4" width="10.5" customWidth="1"/>
    <col min="5" max="5" width="8.5" customWidth="1"/>
    <col min="6" max="6" width="7.5" customWidth="1"/>
    <col min="7" max="7" width="9.5" customWidth="1"/>
    <col min="8" max="8" width="9" customWidth="1"/>
    <col min="9" max="9" width="6.33203125" customWidth="1"/>
    <col min="10" max="11" width="6.5" customWidth="1"/>
    <col min="12" max="12" width="5.83203125" customWidth="1"/>
    <col min="13" max="14" width="6.5" customWidth="1"/>
    <col min="15" max="15" width="6.1640625" customWidth="1"/>
    <col min="16" max="16" width="6.33203125" customWidth="1"/>
    <col min="17" max="20" width="6.5" customWidth="1"/>
    <col min="21" max="21" width="6.6640625" customWidth="1"/>
    <col min="22" max="22" width="6.33203125" customWidth="1"/>
    <col min="23" max="23" width="6.5" customWidth="1"/>
    <col min="24" max="24" width="9.33203125" customWidth="1"/>
    <col min="25" max="25" width="9.5" customWidth="1"/>
    <col min="26" max="26" width="9.33203125" customWidth="1"/>
    <col min="27" max="27" width="8.6640625" customWidth="1"/>
    <col min="28" max="28" width="15.33203125" customWidth="1"/>
    <col min="29" max="29" width="14" customWidth="1"/>
    <col min="30" max="30" width="7.5" customWidth="1"/>
    <col min="31" max="31" width="17.6640625" customWidth="1"/>
    <col min="32" max="35" width="7.5" customWidth="1"/>
  </cols>
  <sheetData>
    <row r="1" spans="1:35" ht="15.75" customHeight="1">
      <c r="A1" s="1"/>
      <c r="B1" s="2"/>
      <c r="C1" s="3">
        <v>45383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5" t="s">
        <v>1</v>
      </c>
      <c r="B3" s="265" t="s">
        <v>2</v>
      </c>
      <c r="C3" s="265" t="s">
        <v>3</v>
      </c>
      <c r="D3" s="265" t="s">
        <v>4</v>
      </c>
      <c r="E3" s="270" t="s">
        <v>5</v>
      </c>
      <c r="F3" s="271"/>
      <c r="G3" s="271"/>
      <c r="H3" s="272"/>
      <c r="I3" s="14">
        <f>C1</f>
        <v>45383</v>
      </c>
      <c r="J3" s="14">
        <f t="shared" ref="J3:W3" si="0">I3+1</f>
        <v>45384</v>
      </c>
      <c r="K3" s="14">
        <f t="shared" si="0"/>
        <v>45385</v>
      </c>
      <c r="L3" s="14">
        <f t="shared" si="0"/>
        <v>45386</v>
      </c>
      <c r="M3" s="14">
        <f t="shared" si="0"/>
        <v>45387</v>
      </c>
      <c r="N3" s="14">
        <f t="shared" si="0"/>
        <v>45388</v>
      </c>
      <c r="O3" s="14">
        <f t="shared" si="0"/>
        <v>45389</v>
      </c>
      <c r="P3" s="14">
        <f t="shared" si="0"/>
        <v>45390</v>
      </c>
      <c r="Q3" s="14">
        <f t="shared" si="0"/>
        <v>45391</v>
      </c>
      <c r="R3" s="14">
        <f t="shared" si="0"/>
        <v>45392</v>
      </c>
      <c r="S3" s="14">
        <f t="shared" si="0"/>
        <v>45393</v>
      </c>
      <c r="T3" s="14">
        <f t="shared" si="0"/>
        <v>45394</v>
      </c>
      <c r="U3" s="14">
        <f t="shared" si="0"/>
        <v>45395</v>
      </c>
      <c r="V3" s="14">
        <f t="shared" si="0"/>
        <v>45396</v>
      </c>
      <c r="W3" s="14">
        <f t="shared" si="0"/>
        <v>45397</v>
      </c>
      <c r="X3" s="265" t="s">
        <v>6</v>
      </c>
      <c r="Y3" s="265" t="s">
        <v>7</v>
      </c>
      <c r="Z3" s="13"/>
      <c r="AA3" s="15"/>
      <c r="AB3" s="15"/>
    </row>
    <row r="4" spans="1:35" ht="26.25" customHeight="1">
      <c r="A4" s="266"/>
      <c r="B4" s="266"/>
      <c r="C4" s="266"/>
      <c r="D4" s="266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Mon</v>
      </c>
      <c r="J4" s="21" t="str">
        <f t="shared" si="1"/>
        <v>Tue</v>
      </c>
      <c r="K4" s="21" t="str">
        <f t="shared" si="1"/>
        <v>Wed</v>
      </c>
      <c r="L4" s="22" t="str">
        <f t="shared" si="1"/>
        <v>Thu</v>
      </c>
      <c r="M4" s="22" t="str">
        <f t="shared" si="1"/>
        <v>Fri</v>
      </c>
      <c r="N4" s="20" t="str">
        <f t="shared" si="1"/>
        <v>Sat</v>
      </c>
      <c r="O4" s="20" t="str">
        <f t="shared" si="1"/>
        <v>Sun</v>
      </c>
      <c r="P4" s="22" t="str">
        <f t="shared" si="1"/>
        <v>Mon</v>
      </c>
      <c r="Q4" s="22" t="str">
        <f t="shared" si="1"/>
        <v>Tue</v>
      </c>
      <c r="R4" s="22" t="str">
        <f t="shared" si="1"/>
        <v>Wed</v>
      </c>
      <c r="S4" s="22" t="str">
        <f t="shared" si="1"/>
        <v>Thu</v>
      </c>
      <c r="T4" s="22" t="str">
        <f t="shared" si="1"/>
        <v>Fri</v>
      </c>
      <c r="U4" s="22" t="str">
        <f t="shared" si="1"/>
        <v>Sat</v>
      </c>
      <c r="V4" s="22" t="str">
        <f t="shared" si="1"/>
        <v>Sun</v>
      </c>
      <c r="W4" s="22" t="str">
        <f t="shared" si="1"/>
        <v>Mon</v>
      </c>
      <c r="X4" s="266"/>
      <c r="Y4" s="266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2">
        <v>8</v>
      </c>
      <c r="J5" s="32">
        <v>8</v>
      </c>
      <c r="K5" s="32">
        <v>8</v>
      </c>
      <c r="L5" s="32">
        <v>8</v>
      </c>
      <c r="M5" s="32">
        <v>8</v>
      </c>
      <c r="N5" s="33"/>
      <c r="O5" s="33"/>
      <c r="P5" s="32">
        <v>8</v>
      </c>
      <c r="Q5" s="32">
        <v>8</v>
      </c>
      <c r="R5" s="32">
        <v>8</v>
      </c>
      <c r="S5" s="31"/>
      <c r="T5" s="32">
        <v>8</v>
      </c>
      <c r="U5" s="33"/>
      <c r="V5" s="33"/>
      <c r="W5" s="32">
        <v>8</v>
      </c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2">
        <v>8</v>
      </c>
      <c r="J6" s="32">
        <v>8</v>
      </c>
      <c r="K6" s="32">
        <v>8</v>
      </c>
      <c r="L6" s="32">
        <v>8</v>
      </c>
      <c r="M6" s="32">
        <v>8</v>
      </c>
      <c r="N6" s="33"/>
      <c r="O6" s="33"/>
      <c r="P6" s="32">
        <v>8</v>
      </c>
      <c r="Q6" s="32">
        <v>8</v>
      </c>
      <c r="R6" s="32">
        <v>8</v>
      </c>
      <c r="S6" s="31"/>
      <c r="T6" s="32">
        <v>8</v>
      </c>
      <c r="U6" s="33"/>
      <c r="V6" s="33"/>
      <c r="W6" s="32">
        <v>8</v>
      </c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2">
        <v>8</v>
      </c>
      <c r="J7" s="32">
        <v>8</v>
      </c>
      <c r="K7" s="32">
        <v>8</v>
      </c>
      <c r="L7" s="32">
        <v>8</v>
      </c>
      <c r="M7" s="32">
        <v>8</v>
      </c>
      <c r="N7" s="33"/>
      <c r="O7" s="33"/>
      <c r="P7" s="32">
        <v>8</v>
      </c>
      <c r="Q7" s="32">
        <v>8</v>
      </c>
      <c r="R7" s="32">
        <v>8</v>
      </c>
      <c r="S7" s="31"/>
      <c r="T7" s="32">
        <v>8</v>
      </c>
      <c r="U7" s="33"/>
      <c r="V7" s="33"/>
      <c r="W7" s="32">
        <v>8</v>
      </c>
      <c r="X7" s="29">
        <f t="shared" si="6"/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2">
        <v>8</v>
      </c>
      <c r="J8" s="32">
        <v>8</v>
      </c>
      <c r="K8" s="32">
        <v>8</v>
      </c>
      <c r="L8" s="32">
        <v>8</v>
      </c>
      <c r="M8" s="32">
        <v>8</v>
      </c>
      <c r="N8" s="33"/>
      <c r="O8" s="33"/>
      <c r="P8" s="32">
        <v>8</v>
      </c>
      <c r="Q8" s="32">
        <v>8</v>
      </c>
      <c r="R8" s="32">
        <v>8</v>
      </c>
      <c r="S8" s="31"/>
      <c r="T8" s="32">
        <v>8</v>
      </c>
      <c r="U8" s="33"/>
      <c r="V8" s="33"/>
      <c r="W8" s="32">
        <v>8</v>
      </c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2">
        <v>8</v>
      </c>
      <c r="J9" s="32">
        <v>8</v>
      </c>
      <c r="K9" s="32">
        <v>8</v>
      </c>
      <c r="L9" s="32">
        <v>8</v>
      </c>
      <c r="M9" s="32">
        <v>8</v>
      </c>
      <c r="N9" s="33"/>
      <c r="O9" s="33"/>
      <c r="P9" s="32">
        <v>8</v>
      </c>
      <c r="Q9" s="32">
        <v>8</v>
      </c>
      <c r="R9" s="32">
        <v>8</v>
      </c>
      <c r="S9" s="31"/>
      <c r="T9" s="32">
        <v>8</v>
      </c>
      <c r="U9" s="33"/>
      <c r="V9" s="33"/>
      <c r="W9" s="32">
        <v>8</v>
      </c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2">
        <v>8</v>
      </c>
      <c r="J10" s="32">
        <v>8</v>
      </c>
      <c r="K10" s="32">
        <v>8</v>
      </c>
      <c r="L10" s="32">
        <v>8</v>
      </c>
      <c r="M10" s="32">
        <v>8</v>
      </c>
      <c r="N10" s="33"/>
      <c r="O10" s="33"/>
      <c r="P10" s="32">
        <v>8</v>
      </c>
      <c r="Q10" s="32">
        <v>8</v>
      </c>
      <c r="R10" s="32">
        <v>8</v>
      </c>
      <c r="S10" s="31"/>
      <c r="T10" s="38"/>
      <c r="U10" s="33"/>
      <c r="V10" s="33"/>
      <c r="W10" s="32">
        <v>8</v>
      </c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472</v>
      </c>
      <c r="G16" s="194">
        <f t="shared" si="8"/>
        <v>472</v>
      </c>
      <c r="H16" s="194">
        <f t="shared" si="8"/>
        <v>0</v>
      </c>
      <c r="I16" s="194">
        <f t="shared" si="8"/>
        <v>48</v>
      </c>
      <c r="J16" s="194">
        <f t="shared" si="8"/>
        <v>48</v>
      </c>
      <c r="K16" s="194">
        <f t="shared" si="8"/>
        <v>48</v>
      </c>
      <c r="L16" s="194">
        <f t="shared" si="8"/>
        <v>48</v>
      </c>
      <c r="M16" s="194">
        <f t="shared" si="8"/>
        <v>48</v>
      </c>
      <c r="N16" s="194">
        <f t="shared" si="8"/>
        <v>0</v>
      </c>
      <c r="O16" s="194">
        <f t="shared" si="8"/>
        <v>0</v>
      </c>
      <c r="P16" s="194">
        <f t="shared" si="8"/>
        <v>48</v>
      </c>
      <c r="Q16" s="194">
        <f t="shared" si="8"/>
        <v>48</v>
      </c>
      <c r="R16" s="194">
        <f t="shared" si="8"/>
        <v>48</v>
      </c>
      <c r="S16" s="194">
        <f t="shared" si="8"/>
        <v>0</v>
      </c>
      <c r="T16" s="194">
        <f t="shared" si="8"/>
        <v>40</v>
      </c>
      <c r="U16" s="194">
        <f t="shared" si="8"/>
        <v>0</v>
      </c>
      <c r="V16" s="194">
        <f t="shared" si="8"/>
        <v>0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5" t="s">
        <v>1</v>
      </c>
      <c r="B19" s="265" t="s">
        <v>2</v>
      </c>
      <c r="C19" s="265" t="s">
        <v>3</v>
      </c>
      <c r="D19" s="265" t="s">
        <v>4</v>
      </c>
      <c r="E19" s="270" t="s">
        <v>5</v>
      </c>
      <c r="F19" s="271"/>
      <c r="G19" s="271"/>
      <c r="H19" s="272"/>
      <c r="I19" s="44">
        <f>W3+1</f>
        <v>45398</v>
      </c>
      <c r="J19" s="44">
        <f t="shared" ref="J19:W19" si="9">I19+1</f>
        <v>45399</v>
      </c>
      <c r="K19" s="44">
        <f t="shared" si="9"/>
        <v>45400</v>
      </c>
      <c r="L19" s="14">
        <f t="shared" si="9"/>
        <v>45401</v>
      </c>
      <c r="M19" s="44">
        <f t="shared" si="9"/>
        <v>45402</v>
      </c>
      <c r="N19" s="44">
        <f t="shared" si="9"/>
        <v>45403</v>
      </c>
      <c r="O19" s="44">
        <f t="shared" si="9"/>
        <v>45404</v>
      </c>
      <c r="P19" s="44">
        <f t="shared" si="9"/>
        <v>45405</v>
      </c>
      <c r="Q19" s="44">
        <f t="shared" si="9"/>
        <v>45406</v>
      </c>
      <c r="R19" s="44">
        <f t="shared" si="9"/>
        <v>45407</v>
      </c>
      <c r="S19" s="44">
        <f t="shared" si="9"/>
        <v>45408</v>
      </c>
      <c r="T19" s="44">
        <f t="shared" si="9"/>
        <v>45409</v>
      </c>
      <c r="U19" s="44">
        <f t="shared" si="9"/>
        <v>45410</v>
      </c>
      <c r="V19" s="44">
        <f t="shared" si="9"/>
        <v>45411</v>
      </c>
      <c r="W19" s="44">
        <f t="shared" si="9"/>
        <v>45412</v>
      </c>
      <c r="X19" s="91"/>
      <c r="Y19" s="265" t="s">
        <v>6</v>
      </c>
      <c r="Z19" s="265" t="s">
        <v>7</v>
      </c>
      <c r="AA19" s="13"/>
      <c r="AB19" s="15"/>
    </row>
    <row r="20" spans="1:35" ht="26.25" customHeight="1">
      <c r="A20" s="266"/>
      <c r="B20" s="266"/>
      <c r="C20" s="266"/>
      <c r="D20" s="266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W20" si="10">IF(I19="","",TEXT(WEEKDAY(I19), "ddd"))</f>
        <v>Tue</v>
      </c>
      <c r="J20" s="22" t="str">
        <f t="shared" si="10"/>
        <v>Wed</v>
      </c>
      <c r="K20" s="22" t="str">
        <f t="shared" si="10"/>
        <v>Thu</v>
      </c>
      <c r="L20" s="22" t="str">
        <f t="shared" si="10"/>
        <v>Fri</v>
      </c>
      <c r="M20" s="22" t="str">
        <f t="shared" si="10"/>
        <v>Sat</v>
      </c>
      <c r="N20" s="22" t="str">
        <f t="shared" si="10"/>
        <v>Sun</v>
      </c>
      <c r="O20" s="22" t="str">
        <f t="shared" si="10"/>
        <v>Mon</v>
      </c>
      <c r="P20" s="21" t="str">
        <f t="shared" si="10"/>
        <v>Tue</v>
      </c>
      <c r="Q20" s="21" t="str">
        <f t="shared" si="10"/>
        <v>Wed</v>
      </c>
      <c r="R20" s="22" t="str">
        <f t="shared" si="10"/>
        <v>Thu</v>
      </c>
      <c r="S20" s="22" t="str">
        <f t="shared" si="10"/>
        <v>Fri</v>
      </c>
      <c r="T20" s="22" t="str">
        <f t="shared" si="10"/>
        <v>Sat</v>
      </c>
      <c r="U20" s="22" t="str">
        <f t="shared" si="10"/>
        <v>Sun</v>
      </c>
      <c r="V20" s="22" t="str">
        <f t="shared" si="10"/>
        <v>Mon</v>
      </c>
      <c r="W20" s="22" t="str">
        <f t="shared" si="10"/>
        <v>Tue</v>
      </c>
      <c r="X20" s="46"/>
      <c r="Y20" s="266"/>
      <c r="Z20" s="266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88</v>
      </c>
      <c r="E21" s="29">
        <f t="shared" ref="E21:E26" si="12">Z21*8</f>
        <v>88</v>
      </c>
      <c r="F21" s="29">
        <f t="shared" ref="F21:F26" si="13">G21+H21</f>
        <v>80</v>
      </c>
      <c r="G21" s="29">
        <f t="shared" ref="G21:G26" si="14">SUM(I21:X21)</f>
        <v>80</v>
      </c>
      <c r="H21" s="30">
        <v>0</v>
      </c>
      <c r="I21" s="32">
        <v>8</v>
      </c>
      <c r="J21" s="32">
        <v>8</v>
      </c>
      <c r="K21" s="32">
        <v>8</v>
      </c>
      <c r="L21" s="38"/>
      <c r="M21" s="33"/>
      <c r="N21" s="33"/>
      <c r="O21" s="32">
        <v>8</v>
      </c>
      <c r="P21" s="32">
        <v>8</v>
      </c>
      <c r="Q21" s="32">
        <v>8</v>
      </c>
      <c r="R21" s="32">
        <v>8</v>
      </c>
      <c r="S21" s="32">
        <v>8</v>
      </c>
      <c r="T21" s="33"/>
      <c r="U21" s="33"/>
      <c r="V21" s="46">
        <v>8</v>
      </c>
      <c r="W21" s="32">
        <v>8</v>
      </c>
      <c r="X21" s="32"/>
      <c r="Y21" s="29">
        <f t="shared" ref="Y21:Y26" si="15">Z21-COUNTA(I21:X21)</f>
        <v>1</v>
      </c>
      <c r="Z21" s="34"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88</v>
      </c>
      <c r="E22" s="29">
        <f t="shared" si="12"/>
        <v>88</v>
      </c>
      <c r="F22" s="29">
        <f t="shared" si="13"/>
        <v>72</v>
      </c>
      <c r="G22" s="29">
        <f t="shared" si="14"/>
        <v>72</v>
      </c>
      <c r="H22" s="30">
        <v>0</v>
      </c>
      <c r="I22" s="32">
        <v>8</v>
      </c>
      <c r="J22" s="38"/>
      <c r="K22" s="32">
        <v>8</v>
      </c>
      <c r="L22" s="38"/>
      <c r="M22" s="33"/>
      <c r="N22" s="33"/>
      <c r="O22" s="32">
        <v>8</v>
      </c>
      <c r="P22" s="32">
        <v>8</v>
      </c>
      <c r="Q22" s="32">
        <v>8</v>
      </c>
      <c r="R22" s="32">
        <v>8</v>
      </c>
      <c r="S22" s="32">
        <v>8</v>
      </c>
      <c r="T22" s="33"/>
      <c r="U22" s="33"/>
      <c r="V22" s="46">
        <v>8</v>
      </c>
      <c r="W22" s="32">
        <v>8</v>
      </c>
      <c r="X22" s="32"/>
      <c r="Y22" s="29">
        <f t="shared" si="15"/>
        <v>2</v>
      </c>
      <c r="Z22" s="34"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88</v>
      </c>
      <c r="E23" s="29">
        <f t="shared" si="12"/>
        <v>88</v>
      </c>
      <c r="F23" s="29">
        <f t="shared" si="13"/>
        <v>88</v>
      </c>
      <c r="G23" s="29">
        <f t="shared" si="14"/>
        <v>88</v>
      </c>
      <c r="H23" s="30">
        <v>0</v>
      </c>
      <c r="I23" s="32">
        <v>8</v>
      </c>
      <c r="J23" s="32">
        <v>8</v>
      </c>
      <c r="K23" s="32">
        <v>8</v>
      </c>
      <c r="L23" s="32">
        <v>8</v>
      </c>
      <c r="M23" s="33"/>
      <c r="N23" s="33"/>
      <c r="O23" s="32">
        <v>8</v>
      </c>
      <c r="P23" s="32">
        <v>8</v>
      </c>
      <c r="Q23" s="32">
        <v>8</v>
      </c>
      <c r="R23" s="48">
        <v>8</v>
      </c>
      <c r="S23" s="32">
        <v>8</v>
      </c>
      <c r="T23" s="33"/>
      <c r="U23" s="33"/>
      <c r="V23" s="46">
        <v>8</v>
      </c>
      <c r="W23" s="32">
        <v>8</v>
      </c>
      <c r="X23" s="32"/>
      <c r="Y23" s="29">
        <f t="shared" si="15"/>
        <v>0</v>
      </c>
      <c r="Z23" s="34"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88</v>
      </c>
      <c r="E24" s="29">
        <f t="shared" si="12"/>
        <v>88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2">
        <v>8</v>
      </c>
      <c r="K24" s="32">
        <v>8</v>
      </c>
      <c r="L24" s="32">
        <v>8</v>
      </c>
      <c r="M24" s="33"/>
      <c r="N24" s="33"/>
      <c r="O24" s="32">
        <v>8</v>
      </c>
      <c r="P24" s="32">
        <v>8</v>
      </c>
      <c r="Q24" s="32">
        <v>8</v>
      </c>
      <c r="R24" s="32">
        <v>8</v>
      </c>
      <c r="S24" s="32">
        <v>8</v>
      </c>
      <c r="T24" s="33"/>
      <c r="U24" s="33"/>
      <c r="V24" s="46">
        <v>8</v>
      </c>
      <c r="W24" s="32">
        <v>8</v>
      </c>
      <c r="X24" s="32"/>
      <c r="Y24" s="29">
        <f t="shared" si="15"/>
        <v>0</v>
      </c>
      <c r="Z24" s="34"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88</v>
      </c>
      <c r="E25" s="29">
        <f t="shared" si="12"/>
        <v>88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2">
        <v>8</v>
      </c>
      <c r="K25" s="32">
        <v>8</v>
      </c>
      <c r="L25" s="32">
        <v>8</v>
      </c>
      <c r="M25" s="33"/>
      <c r="N25" s="33"/>
      <c r="O25" s="32">
        <v>8</v>
      </c>
      <c r="P25" s="32">
        <v>8</v>
      </c>
      <c r="Q25" s="32">
        <v>8</v>
      </c>
      <c r="R25" s="48">
        <v>8</v>
      </c>
      <c r="S25" s="32">
        <v>8</v>
      </c>
      <c r="T25" s="33"/>
      <c r="U25" s="33"/>
      <c r="V25" s="46">
        <v>8</v>
      </c>
      <c r="W25" s="32">
        <v>8</v>
      </c>
      <c r="X25" s="32"/>
      <c r="Y25" s="29">
        <f t="shared" si="15"/>
        <v>0</v>
      </c>
      <c r="Z25" s="34"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88</v>
      </c>
      <c r="E26" s="29">
        <f t="shared" si="12"/>
        <v>88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2">
        <v>8</v>
      </c>
      <c r="L26" s="32">
        <v>8</v>
      </c>
      <c r="M26" s="33"/>
      <c r="N26" s="33"/>
      <c r="O26" s="32">
        <v>8</v>
      </c>
      <c r="P26" s="32">
        <v>8</v>
      </c>
      <c r="Q26" s="32">
        <v>8</v>
      </c>
      <c r="R26" s="32">
        <v>8</v>
      </c>
      <c r="S26" s="32">
        <v>8</v>
      </c>
      <c r="T26" s="33"/>
      <c r="U26" s="33"/>
      <c r="V26" s="32">
        <v>8</v>
      </c>
      <c r="W26" s="32">
        <v>8</v>
      </c>
      <c r="X26" s="32"/>
      <c r="Y26" s="29">
        <f t="shared" si="15"/>
        <v>0</v>
      </c>
      <c r="Z26" s="34">
        <v>11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528</v>
      </c>
      <c r="E32" s="194">
        <f t="shared" si="16"/>
        <v>528</v>
      </c>
      <c r="F32" s="194">
        <f t="shared" si="16"/>
        <v>504</v>
      </c>
      <c r="G32" s="194">
        <f t="shared" si="16"/>
        <v>504</v>
      </c>
      <c r="H32" s="194">
        <f t="shared" si="16"/>
        <v>0</v>
      </c>
      <c r="I32" s="194">
        <f t="shared" si="16"/>
        <v>48</v>
      </c>
      <c r="J32" s="194">
        <f t="shared" si="16"/>
        <v>40</v>
      </c>
      <c r="K32" s="194">
        <f t="shared" si="16"/>
        <v>48</v>
      </c>
      <c r="L32" s="194">
        <f t="shared" si="16"/>
        <v>32</v>
      </c>
      <c r="M32" s="194">
        <f t="shared" si="16"/>
        <v>0</v>
      </c>
      <c r="N32" s="194">
        <f t="shared" si="16"/>
        <v>0</v>
      </c>
      <c r="O32" s="194">
        <f t="shared" si="16"/>
        <v>48</v>
      </c>
      <c r="P32" s="194">
        <f t="shared" si="16"/>
        <v>48</v>
      </c>
      <c r="Q32" s="194">
        <f t="shared" si="16"/>
        <v>48</v>
      </c>
      <c r="R32" s="194">
        <f t="shared" si="16"/>
        <v>48</v>
      </c>
      <c r="S32" s="194">
        <f t="shared" si="16"/>
        <v>48</v>
      </c>
      <c r="T32" s="194">
        <f t="shared" si="16"/>
        <v>0</v>
      </c>
      <c r="U32" s="194">
        <f t="shared" si="16"/>
        <v>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168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152</v>
      </c>
      <c r="C37" s="60">
        <f t="shared" si="18"/>
        <v>168</v>
      </c>
      <c r="D37" s="61">
        <f t="shared" si="19"/>
        <v>152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168</v>
      </c>
      <c r="C38" s="60">
        <f t="shared" si="18"/>
        <v>168</v>
      </c>
      <c r="D38" s="61">
        <f t="shared" si="19"/>
        <v>168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168</v>
      </c>
      <c r="C39" s="60">
        <f t="shared" si="18"/>
        <v>168</v>
      </c>
      <c r="D39" s="61">
        <f t="shared" si="19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168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168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7" t="s">
        <v>0</v>
      </c>
      <c r="B49" s="268"/>
      <c r="C49" s="269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7" t="s">
        <v>22</v>
      </c>
      <c r="B56" s="268"/>
      <c r="C56" s="269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11</v>
      </c>
      <c r="C58" s="79">
        <f t="shared" ref="C58:C59" si="27">B58*8</f>
        <v>88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11</v>
      </c>
      <c r="C60" s="81">
        <f t="shared" si="28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  <row r="998" ht="13"/>
    <row r="999" ht="13"/>
    <row r="1000" ht="13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9900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baseColWidth="10" defaultColWidth="12.5" defaultRowHeight="15.75" customHeight="1"/>
  <cols>
    <col min="1" max="1" width="23.5" customWidth="1"/>
    <col min="2" max="2" width="11.83203125" customWidth="1"/>
    <col min="3" max="3" width="18.83203125" customWidth="1"/>
    <col min="4" max="4" width="10.5" customWidth="1"/>
    <col min="5" max="5" width="8.5" customWidth="1"/>
    <col min="6" max="6" width="7.5" customWidth="1"/>
    <col min="7" max="7" width="9.5" customWidth="1"/>
    <col min="8" max="8" width="9" customWidth="1"/>
    <col min="9" max="9" width="6.33203125" customWidth="1"/>
    <col min="10" max="11" width="6.5" customWidth="1"/>
    <col min="12" max="12" width="5.83203125" customWidth="1"/>
    <col min="13" max="14" width="6.5" customWidth="1"/>
    <col min="15" max="15" width="6.1640625" customWidth="1"/>
    <col min="16" max="16" width="6.33203125" customWidth="1"/>
    <col min="17" max="20" width="6.5" customWidth="1"/>
    <col min="21" max="21" width="6.6640625" customWidth="1"/>
    <col min="22" max="22" width="6.33203125" customWidth="1"/>
    <col min="23" max="23" width="6.5" customWidth="1"/>
    <col min="24" max="24" width="9.33203125" customWidth="1"/>
    <col min="25" max="25" width="9.5" customWidth="1"/>
    <col min="26" max="26" width="9.33203125" customWidth="1"/>
    <col min="27" max="27" width="8.6640625" customWidth="1"/>
    <col min="28" max="28" width="15.33203125" customWidth="1"/>
    <col min="29" max="29" width="14" customWidth="1"/>
    <col min="30" max="30" width="7.5" customWidth="1"/>
    <col min="31" max="31" width="17.6640625" customWidth="1"/>
    <col min="32" max="35" width="7.5" customWidth="1"/>
  </cols>
  <sheetData>
    <row r="1" spans="1:35" ht="15.75" customHeight="1">
      <c r="A1" s="1"/>
      <c r="B1" s="2"/>
      <c r="C1" s="3">
        <v>45413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5" t="s">
        <v>1</v>
      </c>
      <c r="B3" s="265" t="s">
        <v>2</v>
      </c>
      <c r="C3" s="265" t="s">
        <v>3</v>
      </c>
      <c r="D3" s="265" t="s">
        <v>4</v>
      </c>
      <c r="E3" s="270" t="s">
        <v>5</v>
      </c>
      <c r="F3" s="271"/>
      <c r="G3" s="271"/>
      <c r="H3" s="272"/>
      <c r="I3" s="14">
        <f>C1</f>
        <v>45413</v>
      </c>
      <c r="J3" s="14">
        <f t="shared" ref="J3:W3" si="0">I3+1</f>
        <v>45414</v>
      </c>
      <c r="K3" s="14">
        <f t="shared" si="0"/>
        <v>45415</v>
      </c>
      <c r="L3" s="14">
        <f t="shared" si="0"/>
        <v>45416</v>
      </c>
      <c r="M3" s="14">
        <f t="shared" si="0"/>
        <v>45417</v>
      </c>
      <c r="N3" s="14">
        <f t="shared" si="0"/>
        <v>45418</v>
      </c>
      <c r="O3" s="14">
        <f t="shared" si="0"/>
        <v>45419</v>
      </c>
      <c r="P3" s="14">
        <f t="shared" si="0"/>
        <v>45420</v>
      </c>
      <c r="Q3" s="14">
        <f t="shared" si="0"/>
        <v>45421</v>
      </c>
      <c r="R3" s="14">
        <f t="shared" si="0"/>
        <v>45422</v>
      </c>
      <c r="S3" s="14">
        <f t="shared" si="0"/>
        <v>45423</v>
      </c>
      <c r="T3" s="14">
        <f t="shared" si="0"/>
        <v>45424</v>
      </c>
      <c r="U3" s="14">
        <f t="shared" si="0"/>
        <v>45425</v>
      </c>
      <c r="V3" s="14">
        <f t="shared" si="0"/>
        <v>45426</v>
      </c>
      <c r="W3" s="14">
        <f t="shared" si="0"/>
        <v>45427</v>
      </c>
      <c r="X3" s="265" t="s">
        <v>6</v>
      </c>
      <c r="Y3" s="265" t="s">
        <v>7</v>
      </c>
      <c r="Z3" s="13"/>
      <c r="AA3" s="15"/>
      <c r="AB3" s="15"/>
    </row>
    <row r="4" spans="1:35" ht="26.25" customHeight="1">
      <c r="A4" s="266"/>
      <c r="B4" s="266"/>
      <c r="C4" s="266"/>
      <c r="D4" s="266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Wed</v>
      </c>
      <c r="J4" s="21" t="str">
        <f t="shared" si="1"/>
        <v>Thu</v>
      </c>
      <c r="K4" s="21" t="str">
        <f t="shared" si="1"/>
        <v>Fri</v>
      </c>
      <c r="L4" s="22" t="str">
        <f t="shared" si="1"/>
        <v>Sat</v>
      </c>
      <c r="M4" s="22" t="str">
        <f t="shared" si="1"/>
        <v>Sun</v>
      </c>
      <c r="N4" s="20" t="str">
        <f t="shared" si="1"/>
        <v>Mon</v>
      </c>
      <c r="O4" s="20" t="str">
        <f t="shared" si="1"/>
        <v>Tue</v>
      </c>
      <c r="P4" s="22" t="str">
        <f t="shared" si="1"/>
        <v>Wed</v>
      </c>
      <c r="Q4" s="22" t="str">
        <f t="shared" si="1"/>
        <v>Thu</v>
      </c>
      <c r="R4" s="22" t="str">
        <f t="shared" si="1"/>
        <v>Fri</v>
      </c>
      <c r="S4" s="22" t="str">
        <f t="shared" si="1"/>
        <v>Sat</v>
      </c>
      <c r="T4" s="22" t="str">
        <f t="shared" si="1"/>
        <v>Sun</v>
      </c>
      <c r="U4" s="22" t="str">
        <f t="shared" si="1"/>
        <v>Mon</v>
      </c>
      <c r="V4" s="22" t="str">
        <f t="shared" si="1"/>
        <v>Tue</v>
      </c>
      <c r="W4" s="22" t="str">
        <f t="shared" si="1"/>
        <v>Wed</v>
      </c>
      <c r="X4" s="266"/>
      <c r="Y4" s="266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1"/>
      <c r="J5" s="32">
        <v>8</v>
      </c>
      <c r="K5" s="32">
        <v>8</v>
      </c>
      <c r="L5" s="33"/>
      <c r="M5" s="33"/>
      <c r="N5" s="32">
        <v>8</v>
      </c>
      <c r="O5" s="32">
        <v>8</v>
      </c>
      <c r="P5" s="32">
        <v>8</v>
      </c>
      <c r="Q5" s="32">
        <v>8</v>
      </c>
      <c r="R5" s="32">
        <v>8</v>
      </c>
      <c r="S5" s="33"/>
      <c r="T5" s="33"/>
      <c r="U5" s="32">
        <v>8</v>
      </c>
      <c r="V5" s="32">
        <v>8</v>
      </c>
      <c r="W5" s="32">
        <v>8</v>
      </c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1"/>
      <c r="J6" s="32">
        <v>8</v>
      </c>
      <c r="K6" s="32">
        <v>8</v>
      </c>
      <c r="L6" s="33"/>
      <c r="M6" s="33"/>
      <c r="N6" s="32">
        <v>8</v>
      </c>
      <c r="O6" s="32">
        <v>8</v>
      </c>
      <c r="P6" s="32">
        <v>8</v>
      </c>
      <c r="Q6" s="32">
        <v>8</v>
      </c>
      <c r="R6" s="32">
        <v>8</v>
      </c>
      <c r="S6" s="33"/>
      <c r="T6" s="33"/>
      <c r="U6" s="32">
        <v>8</v>
      </c>
      <c r="V6" s="32">
        <v>8</v>
      </c>
      <c r="W6" s="32">
        <v>8</v>
      </c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64</v>
      </c>
      <c r="G7" s="29">
        <f t="shared" si="5"/>
        <v>64</v>
      </c>
      <c r="H7" s="30">
        <v>0</v>
      </c>
      <c r="I7" s="31"/>
      <c r="J7" s="32">
        <v>8</v>
      </c>
      <c r="K7" s="32">
        <v>8</v>
      </c>
      <c r="L7" s="33"/>
      <c r="M7" s="33"/>
      <c r="N7" s="32">
        <v>8</v>
      </c>
      <c r="O7" s="32">
        <v>8</v>
      </c>
      <c r="P7" s="32">
        <v>8</v>
      </c>
      <c r="Q7" s="32">
        <v>8</v>
      </c>
      <c r="R7" s="38"/>
      <c r="S7" s="33"/>
      <c r="T7" s="33"/>
      <c r="U7" s="38"/>
      <c r="V7" s="32">
        <v>8</v>
      </c>
      <c r="W7" s="32">
        <v>8</v>
      </c>
      <c r="X7" s="29">
        <f t="shared" si="6"/>
        <v>2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72</v>
      </c>
      <c r="G8" s="29">
        <f t="shared" si="5"/>
        <v>72</v>
      </c>
      <c r="H8" s="30">
        <v>0</v>
      </c>
      <c r="I8" s="31"/>
      <c r="J8" s="38"/>
      <c r="K8" s="32">
        <v>8</v>
      </c>
      <c r="L8" s="33"/>
      <c r="M8" s="33"/>
      <c r="N8" s="32">
        <v>8</v>
      </c>
      <c r="O8" s="32">
        <v>8</v>
      </c>
      <c r="P8" s="32">
        <v>8</v>
      </c>
      <c r="Q8" s="32">
        <v>8</v>
      </c>
      <c r="R8" s="32">
        <v>8</v>
      </c>
      <c r="S8" s="33"/>
      <c r="T8" s="33"/>
      <c r="U8" s="32">
        <v>8</v>
      </c>
      <c r="V8" s="32">
        <v>8</v>
      </c>
      <c r="W8" s="32">
        <v>8</v>
      </c>
      <c r="X8" s="29">
        <f t="shared" si="6"/>
        <v>1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1"/>
      <c r="J9" s="32">
        <v>8</v>
      </c>
      <c r="K9" s="32">
        <v>8</v>
      </c>
      <c r="L9" s="33"/>
      <c r="M9" s="33"/>
      <c r="N9" s="32">
        <v>8</v>
      </c>
      <c r="O9" s="32">
        <v>8</v>
      </c>
      <c r="P9" s="32">
        <v>8</v>
      </c>
      <c r="Q9" s="32">
        <v>8</v>
      </c>
      <c r="R9" s="32">
        <v>8</v>
      </c>
      <c r="S9" s="33"/>
      <c r="T9" s="33"/>
      <c r="U9" s="32">
        <v>8</v>
      </c>
      <c r="V9" s="32">
        <v>8</v>
      </c>
      <c r="W9" s="32">
        <v>8</v>
      </c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1"/>
      <c r="J10" s="32">
        <v>8</v>
      </c>
      <c r="K10" s="32">
        <v>8</v>
      </c>
      <c r="L10" s="33"/>
      <c r="M10" s="33"/>
      <c r="N10" s="32">
        <v>8</v>
      </c>
      <c r="O10" s="32">
        <v>8</v>
      </c>
      <c r="P10" s="32">
        <v>8</v>
      </c>
      <c r="Q10" s="38"/>
      <c r="R10" s="32">
        <v>8</v>
      </c>
      <c r="S10" s="33"/>
      <c r="T10" s="33"/>
      <c r="U10" s="32">
        <v>8</v>
      </c>
      <c r="V10" s="32">
        <v>8</v>
      </c>
      <c r="W10" s="32">
        <v>8</v>
      </c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448</v>
      </c>
      <c r="G16" s="194">
        <f t="shared" si="8"/>
        <v>448</v>
      </c>
      <c r="H16" s="194">
        <f t="shared" si="8"/>
        <v>0</v>
      </c>
      <c r="I16" s="194">
        <f t="shared" si="8"/>
        <v>0</v>
      </c>
      <c r="J16" s="194">
        <f t="shared" si="8"/>
        <v>40</v>
      </c>
      <c r="K16" s="194">
        <f t="shared" si="8"/>
        <v>48</v>
      </c>
      <c r="L16" s="194">
        <f t="shared" si="8"/>
        <v>0</v>
      </c>
      <c r="M16" s="194">
        <f t="shared" si="8"/>
        <v>0</v>
      </c>
      <c r="N16" s="194">
        <f t="shared" si="8"/>
        <v>48</v>
      </c>
      <c r="O16" s="194">
        <f t="shared" si="8"/>
        <v>48</v>
      </c>
      <c r="P16" s="194">
        <f t="shared" si="8"/>
        <v>48</v>
      </c>
      <c r="Q16" s="194">
        <f t="shared" si="8"/>
        <v>40</v>
      </c>
      <c r="R16" s="194">
        <f t="shared" si="8"/>
        <v>40</v>
      </c>
      <c r="S16" s="194">
        <f t="shared" si="8"/>
        <v>0</v>
      </c>
      <c r="T16" s="194">
        <f t="shared" si="8"/>
        <v>0</v>
      </c>
      <c r="U16" s="194">
        <f t="shared" si="8"/>
        <v>40</v>
      </c>
      <c r="V16" s="194">
        <f t="shared" si="8"/>
        <v>48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5" t="s">
        <v>1</v>
      </c>
      <c r="B19" s="265" t="s">
        <v>2</v>
      </c>
      <c r="C19" s="265" t="s">
        <v>3</v>
      </c>
      <c r="D19" s="265" t="s">
        <v>4</v>
      </c>
      <c r="E19" s="270" t="s">
        <v>5</v>
      </c>
      <c r="F19" s="271"/>
      <c r="G19" s="271"/>
      <c r="H19" s="272"/>
      <c r="I19" s="44">
        <f>W3+1</f>
        <v>45428</v>
      </c>
      <c r="J19" s="44">
        <f t="shared" ref="J19:X19" si="9">I19+1</f>
        <v>45429</v>
      </c>
      <c r="K19" s="44">
        <f t="shared" si="9"/>
        <v>45430</v>
      </c>
      <c r="L19" s="14">
        <f t="shared" si="9"/>
        <v>45431</v>
      </c>
      <c r="M19" s="44">
        <f t="shared" si="9"/>
        <v>45432</v>
      </c>
      <c r="N19" s="44">
        <f t="shared" si="9"/>
        <v>45433</v>
      </c>
      <c r="O19" s="44">
        <f t="shared" si="9"/>
        <v>45434</v>
      </c>
      <c r="P19" s="44">
        <f t="shared" si="9"/>
        <v>45435</v>
      </c>
      <c r="Q19" s="44">
        <f t="shared" si="9"/>
        <v>45436</v>
      </c>
      <c r="R19" s="44">
        <f t="shared" si="9"/>
        <v>45437</v>
      </c>
      <c r="S19" s="44">
        <f t="shared" si="9"/>
        <v>45438</v>
      </c>
      <c r="T19" s="44">
        <f t="shared" si="9"/>
        <v>45439</v>
      </c>
      <c r="U19" s="44">
        <f t="shared" si="9"/>
        <v>45440</v>
      </c>
      <c r="V19" s="44">
        <f t="shared" si="9"/>
        <v>45441</v>
      </c>
      <c r="W19" s="44">
        <f t="shared" si="9"/>
        <v>45442</v>
      </c>
      <c r="X19" s="44">
        <f t="shared" si="9"/>
        <v>45443</v>
      </c>
      <c r="Y19" s="265" t="s">
        <v>6</v>
      </c>
      <c r="Z19" s="265" t="s">
        <v>7</v>
      </c>
      <c r="AA19" s="13"/>
      <c r="AB19" s="15"/>
    </row>
    <row r="20" spans="1:35" ht="26.25" customHeight="1">
      <c r="A20" s="266"/>
      <c r="B20" s="266"/>
      <c r="C20" s="266"/>
      <c r="D20" s="266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Thu</v>
      </c>
      <c r="J20" s="22" t="str">
        <f t="shared" si="10"/>
        <v>Fri</v>
      </c>
      <c r="K20" s="22" t="str">
        <f t="shared" si="10"/>
        <v>Sat</v>
      </c>
      <c r="L20" s="22" t="str">
        <f t="shared" si="10"/>
        <v>Sun</v>
      </c>
      <c r="M20" s="22" t="str">
        <f t="shared" si="10"/>
        <v>Mon</v>
      </c>
      <c r="N20" s="22" t="str">
        <f t="shared" si="10"/>
        <v>Tue</v>
      </c>
      <c r="O20" s="22" t="str">
        <f t="shared" si="10"/>
        <v>Wed</v>
      </c>
      <c r="P20" s="21" t="str">
        <f t="shared" si="10"/>
        <v>Thu</v>
      </c>
      <c r="Q20" s="21" t="str">
        <f t="shared" si="10"/>
        <v>Fri</v>
      </c>
      <c r="R20" s="22" t="str">
        <f t="shared" si="10"/>
        <v>Sat</v>
      </c>
      <c r="S20" s="22" t="str">
        <f t="shared" si="10"/>
        <v>Sun</v>
      </c>
      <c r="T20" s="22" t="str">
        <f t="shared" si="10"/>
        <v>Mon</v>
      </c>
      <c r="U20" s="22" t="str">
        <f t="shared" si="10"/>
        <v>Tue</v>
      </c>
      <c r="V20" s="22" t="str">
        <f t="shared" si="10"/>
        <v>Wed</v>
      </c>
      <c r="W20" s="22" t="str">
        <f t="shared" si="10"/>
        <v>Thu</v>
      </c>
      <c r="X20" s="22" t="str">
        <f t="shared" si="10"/>
        <v>Fri</v>
      </c>
      <c r="Y20" s="266"/>
      <c r="Z20" s="266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96</v>
      </c>
      <c r="E21" s="29">
        <f t="shared" ref="E21:E26" si="12">Z21*8</f>
        <v>96</v>
      </c>
      <c r="F21" s="29">
        <f t="shared" ref="F21:F26" si="13">G21+H21</f>
        <v>80</v>
      </c>
      <c r="G21" s="29">
        <f t="shared" ref="G21:G26" si="14">SUM(I21:X21)</f>
        <v>80</v>
      </c>
      <c r="H21" s="30">
        <v>0</v>
      </c>
      <c r="I21" s="32">
        <v>8</v>
      </c>
      <c r="J21" s="32">
        <v>8</v>
      </c>
      <c r="K21" s="33"/>
      <c r="L21" s="33"/>
      <c r="M21" s="32">
        <v>8</v>
      </c>
      <c r="N21" s="32">
        <v>8</v>
      </c>
      <c r="O21" s="32">
        <v>8</v>
      </c>
      <c r="P21" s="38"/>
      <c r="Q21" s="38"/>
      <c r="R21" s="33"/>
      <c r="S21" s="33"/>
      <c r="T21" s="32">
        <v>8</v>
      </c>
      <c r="U21" s="32">
        <v>8</v>
      </c>
      <c r="V21" s="46">
        <v>8</v>
      </c>
      <c r="W21" s="32">
        <v>8</v>
      </c>
      <c r="X21" s="32">
        <v>8</v>
      </c>
      <c r="Y21" s="29">
        <f t="shared" ref="Y21:Y26" si="15">Z21-COUNTA(I21:X21)</f>
        <v>2</v>
      </c>
      <c r="Z21" s="34">
        <v>12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96</v>
      </c>
      <c r="E22" s="29">
        <f t="shared" si="12"/>
        <v>96</v>
      </c>
      <c r="F22" s="29">
        <f t="shared" si="13"/>
        <v>96</v>
      </c>
      <c r="G22" s="29">
        <f t="shared" si="14"/>
        <v>96</v>
      </c>
      <c r="H22" s="30">
        <v>0</v>
      </c>
      <c r="I22" s="32">
        <v>8</v>
      </c>
      <c r="J22" s="32">
        <v>8</v>
      </c>
      <c r="K22" s="33"/>
      <c r="L22" s="33"/>
      <c r="M22" s="32">
        <v>8</v>
      </c>
      <c r="N22" s="32">
        <v>8</v>
      </c>
      <c r="O22" s="32">
        <v>8</v>
      </c>
      <c r="P22" s="32">
        <v>8</v>
      </c>
      <c r="Q22" s="32">
        <v>8</v>
      </c>
      <c r="R22" s="33"/>
      <c r="S22" s="33"/>
      <c r="T22" s="32">
        <v>8</v>
      </c>
      <c r="U22" s="32">
        <v>8</v>
      </c>
      <c r="V22" s="46">
        <v>8</v>
      </c>
      <c r="W22" s="32">
        <v>8</v>
      </c>
      <c r="X22" s="32">
        <v>8</v>
      </c>
      <c r="Y22" s="29">
        <f t="shared" si="15"/>
        <v>0</v>
      </c>
      <c r="Z22" s="34">
        <v>12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96</v>
      </c>
      <c r="E23" s="29">
        <f t="shared" si="12"/>
        <v>96</v>
      </c>
      <c r="F23" s="29">
        <f t="shared" si="13"/>
        <v>88</v>
      </c>
      <c r="G23" s="29">
        <f t="shared" si="14"/>
        <v>88</v>
      </c>
      <c r="H23" s="30">
        <v>0</v>
      </c>
      <c r="I23" s="32">
        <v>8</v>
      </c>
      <c r="J23" s="32">
        <v>8</v>
      </c>
      <c r="K23" s="33"/>
      <c r="L23" s="33"/>
      <c r="M23" s="38"/>
      <c r="N23" s="32">
        <v>8</v>
      </c>
      <c r="O23" s="32">
        <v>8</v>
      </c>
      <c r="P23" s="32">
        <v>8</v>
      </c>
      <c r="Q23" s="32">
        <v>8</v>
      </c>
      <c r="R23" s="47"/>
      <c r="S23" s="33"/>
      <c r="T23" s="32">
        <v>8</v>
      </c>
      <c r="U23" s="32">
        <v>8</v>
      </c>
      <c r="V23" s="46">
        <v>8</v>
      </c>
      <c r="W23" s="32">
        <v>8</v>
      </c>
      <c r="X23" s="32">
        <v>8</v>
      </c>
      <c r="Y23" s="29">
        <f t="shared" si="15"/>
        <v>1</v>
      </c>
      <c r="Z23" s="34">
        <v>12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96</v>
      </c>
      <c r="E24" s="29">
        <f t="shared" si="12"/>
        <v>96</v>
      </c>
      <c r="F24" s="29">
        <f t="shared" si="13"/>
        <v>96</v>
      </c>
      <c r="G24" s="29">
        <f t="shared" si="14"/>
        <v>96</v>
      </c>
      <c r="H24" s="30">
        <v>0</v>
      </c>
      <c r="I24" s="32">
        <v>8</v>
      </c>
      <c r="J24" s="32">
        <v>8</v>
      </c>
      <c r="K24" s="33"/>
      <c r="L24" s="33"/>
      <c r="M24" s="32">
        <v>8</v>
      </c>
      <c r="N24" s="32">
        <v>8</v>
      </c>
      <c r="O24" s="32">
        <v>8</v>
      </c>
      <c r="P24" s="32">
        <v>8</v>
      </c>
      <c r="Q24" s="32">
        <v>8</v>
      </c>
      <c r="R24" s="33"/>
      <c r="S24" s="33"/>
      <c r="T24" s="32">
        <v>8</v>
      </c>
      <c r="U24" s="32">
        <v>8</v>
      </c>
      <c r="V24" s="46">
        <v>8</v>
      </c>
      <c r="W24" s="32">
        <v>8</v>
      </c>
      <c r="X24" s="32">
        <v>8</v>
      </c>
      <c r="Y24" s="29">
        <f t="shared" si="15"/>
        <v>0</v>
      </c>
      <c r="Z24" s="34">
        <v>12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96</v>
      </c>
      <c r="E25" s="29">
        <f t="shared" si="12"/>
        <v>96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2">
        <v>8</v>
      </c>
      <c r="K25" s="33"/>
      <c r="L25" s="33"/>
      <c r="M25" s="32"/>
      <c r="N25" s="32">
        <v>8</v>
      </c>
      <c r="O25" s="32">
        <v>8</v>
      </c>
      <c r="P25" s="32">
        <v>8</v>
      </c>
      <c r="Q25" s="32">
        <v>8</v>
      </c>
      <c r="R25" s="47"/>
      <c r="S25" s="33"/>
      <c r="T25" s="32">
        <v>8</v>
      </c>
      <c r="U25" s="32">
        <v>8</v>
      </c>
      <c r="V25" s="46">
        <v>8</v>
      </c>
      <c r="W25" s="32">
        <v>8</v>
      </c>
      <c r="X25" s="32">
        <v>8</v>
      </c>
      <c r="Y25" s="29">
        <f t="shared" si="15"/>
        <v>1</v>
      </c>
      <c r="Z25" s="34">
        <v>12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96</v>
      </c>
      <c r="E26" s="29">
        <f t="shared" si="12"/>
        <v>96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3"/>
      <c r="L26" s="33"/>
      <c r="M26" s="38"/>
      <c r="N26" s="32">
        <v>8</v>
      </c>
      <c r="O26" s="32">
        <v>8</v>
      </c>
      <c r="P26" s="32">
        <v>8</v>
      </c>
      <c r="Q26" s="32">
        <v>8</v>
      </c>
      <c r="R26" s="33"/>
      <c r="S26" s="33"/>
      <c r="T26" s="32">
        <v>8</v>
      </c>
      <c r="U26" s="32">
        <v>8</v>
      </c>
      <c r="V26" s="32">
        <v>8</v>
      </c>
      <c r="W26" s="32">
        <v>8</v>
      </c>
      <c r="X26" s="32">
        <v>8</v>
      </c>
      <c r="Y26" s="29">
        <f t="shared" si="15"/>
        <v>1</v>
      </c>
      <c r="Z26" s="34">
        <v>12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576</v>
      </c>
      <c r="E32" s="194">
        <f t="shared" si="16"/>
        <v>576</v>
      </c>
      <c r="F32" s="194">
        <f t="shared" si="16"/>
        <v>536</v>
      </c>
      <c r="G32" s="194">
        <f t="shared" si="16"/>
        <v>536</v>
      </c>
      <c r="H32" s="194">
        <f t="shared" si="16"/>
        <v>0</v>
      </c>
      <c r="I32" s="194">
        <f t="shared" si="16"/>
        <v>48</v>
      </c>
      <c r="J32" s="194">
        <f t="shared" si="16"/>
        <v>48</v>
      </c>
      <c r="K32" s="194">
        <f t="shared" si="16"/>
        <v>0</v>
      </c>
      <c r="L32" s="194">
        <f t="shared" si="16"/>
        <v>0</v>
      </c>
      <c r="M32" s="194">
        <f t="shared" si="16"/>
        <v>24</v>
      </c>
      <c r="N32" s="194">
        <f t="shared" si="16"/>
        <v>48</v>
      </c>
      <c r="O32" s="194">
        <f t="shared" si="16"/>
        <v>48</v>
      </c>
      <c r="P32" s="194">
        <f t="shared" si="16"/>
        <v>40</v>
      </c>
      <c r="Q32" s="194">
        <f t="shared" si="16"/>
        <v>40</v>
      </c>
      <c r="R32" s="194">
        <f t="shared" si="16"/>
        <v>0</v>
      </c>
      <c r="S32" s="194">
        <f t="shared" si="16"/>
        <v>0</v>
      </c>
      <c r="T32" s="194">
        <f t="shared" si="16"/>
        <v>48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176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176</v>
      </c>
      <c r="C37" s="60">
        <f t="shared" si="18"/>
        <v>176</v>
      </c>
      <c r="D37" s="61">
        <f t="shared" si="19"/>
        <v>176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176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168</v>
      </c>
      <c r="C39" s="60">
        <f t="shared" si="18"/>
        <v>176</v>
      </c>
      <c r="D39" s="61">
        <f t="shared" si="19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176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176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7" t="s">
        <v>0</v>
      </c>
      <c r="B49" s="268"/>
      <c r="C49" s="269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7" t="s">
        <v>22</v>
      </c>
      <c r="B56" s="268"/>
      <c r="C56" s="269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12</v>
      </c>
      <c r="C58" s="79">
        <f t="shared" ref="C58:C59" si="27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12</v>
      </c>
      <c r="C60" s="81">
        <f t="shared" si="28"/>
        <v>96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176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  <row r="998" ht="13"/>
    <row r="999" ht="13"/>
    <row r="1000" ht="13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00F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baseColWidth="10" defaultColWidth="12.5" defaultRowHeight="15.75" customHeight="1"/>
  <cols>
    <col min="1" max="1" width="23.5" customWidth="1"/>
    <col min="2" max="2" width="11.83203125" customWidth="1"/>
    <col min="3" max="3" width="18.83203125" customWidth="1"/>
    <col min="4" max="4" width="10.5" customWidth="1"/>
    <col min="5" max="5" width="8.5" customWidth="1"/>
    <col min="6" max="6" width="7.5" customWidth="1"/>
    <col min="7" max="7" width="9.5" customWidth="1"/>
    <col min="8" max="8" width="9" customWidth="1"/>
    <col min="9" max="9" width="6.33203125" customWidth="1"/>
    <col min="10" max="11" width="6.5" customWidth="1"/>
    <col min="12" max="12" width="5.83203125" customWidth="1"/>
    <col min="13" max="14" width="6.5" customWidth="1"/>
    <col min="15" max="15" width="6.1640625" customWidth="1"/>
    <col min="16" max="16" width="6.33203125" customWidth="1"/>
    <col min="17" max="20" width="6.5" customWidth="1"/>
    <col min="21" max="21" width="6.6640625" customWidth="1"/>
    <col min="22" max="22" width="6.33203125" customWidth="1"/>
    <col min="23" max="23" width="6.5" customWidth="1"/>
    <col min="24" max="24" width="9.33203125" customWidth="1"/>
    <col min="25" max="25" width="9.5" customWidth="1"/>
    <col min="26" max="26" width="9.33203125" customWidth="1"/>
    <col min="27" max="27" width="8.6640625" customWidth="1"/>
    <col min="28" max="28" width="15.33203125" customWidth="1"/>
    <col min="29" max="29" width="14" customWidth="1"/>
    <col min="30" max="30" width="7.5" customWidth="1"/>
    <col min="31" max="31" width="17.6640625" customWidth="1"/>
    <col min="32" max="35" width="7.5" customWidth="1"/>
  </cols>
  <sheetData>
    <row r="1" spans="1:35" ht="15.75" customHeight="1">
      <c r="A1" s="1"/>
      <c r="B1" s="2"/>
      <c r="C1" s="3">
        <v>45444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5" t="s">
        <v>1</v>
      </c>
      <c r="B3" s="265" t="s">
        <v>2</v>
      </c>
      <c r="C3" s="265" t="s">
        <v>3</v>
      </c>
      <c r="D3" s="265" t="s">
        <v>4</v>
      </c>
      <c r="E3" s="270" t="s">
        <v>5</v>
      </c>
      <c r="F3" s="271"/>
      <c r="G3" s="271"/>
      <c r="H3" s="272"/>
      <c r="I3" s="14">
        <f>C1</f>
        <v>45444</v>
      </c>
      <c r="J3" s="14">
        <f t="shared" ref="J3:W3" si="0">I3+1</f>
        <v>45445</v>
      </c>
      <c r="K3" s="14">
        <f t="shared" si="0"/>
        <v>45446</v>
      </c>
      <c r="L3" s="14">
        <f t="shared" si="0"/>
        <v>45447</v>
      </c>
      <c r="M3" s="14">
        <f t="shared" si="0"/>
        <v>45448</v>
      </c>
      <c r="N3" s="14">
        <f t="shared" si="0"/>
        <v>45449</v>
      </c>
      <c r="O3" s="14">
        <f t="shared" si="0"/>
        <v>45450</v>
      </c>
      <c r="P3" s="14">
        <f t="shared" si="0"/>
        <v>45451</v>
      </c>
      <c r="Q3" s="14">
        <f t="shared" si="0"/>
        <v>45452</v>
      </c>
      <c r="R3" s="14">
        <f t="shared" si="0"/>
        <v>45453</v>
      </c>
      <c r="S3" s="14">
        <f t="shared" si="0"/>
        <v>45454</v>
      </c>
      <c r="T3" s="14">
        <f t="shared" si="0"/>
        <v>45455</v>
      </c>
      <c r="U3" s="14">
        <f t="shared" si="0"/>
        <v>45456</v>
      </c>
      <c r="V3" s="14">
        <f t="shared" si="0"/>
        <v>45457</v>
      </c>
      <c r="W3" s="14">
        <f t="shared" si="0"/>
        <v>45458</v>
      </c>
      <c r="X3" s="265" t="s">
        <v>6</v>
      </c>
      <c r="Y3" s="265" t="s">
        <v>7</v>
      </c>
      <c r="Z3" s="13"/>
      <c r="AA3" s="15"/>
      <c r="AB3" s="15"/>
    </row>
    <row r="4" spans="1:35" ht="26.25" customHeight="1">
      <c r="A4" s="266"/>
      <c r="B4" s="266"/>
      <c r="C4" s="266"/>
      <c r="D4" s="266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Sat</v>
      </c>
      <c r="J4" s="21" t="str">
        <f t="shared" si="1"/>
        <v>Sun</v>
      </c>
      <c r="K4" s="21" t="str">
        <f t="shared" si="1"/>
        <v>Mon</v>
      </c>
      <c r="L4" s="22" t="str">
        <f t="shared" si="1"/>
        <v>Tue</v>
      </c>
      <c r="M4" s="22" t="str">
        <f t="shared" si="1"/>
        <v>Wed</v>
      </c>
      <c r="N4" s="20" t="str">
        <f t="shared" si="1"/>
        <v>Thu</v>
      </c>
      <c r="O4" s="20" t="str">
        <f t="shared" si="1"/>
        <v>Fri</v>
      </c>
      <c r="P4" s="22" t="str">
        <f t="shared" si="1"/>
        <v>Sat</v>
      </c>
      <c r="Q4" s="22" t="str">
        <f t="shared" si="1"/>
        <v>Sun</v>
      </c>
      <c r="R4" s="22" t="str">
        <f t="shared" si="1"/>
        <v>Mon</v>
      </c>
      <c r="S4" s="22" t="str">
        <f t="shared" si="1"/>
        <v>Tue</v>
      </c>
      <c r="T4" s="22" t="str">
        <f t="shared" si="1"/>
        <v>Wed</v>
      </c>
      <c r="U4" s="22" t="str">
        <f t="shared" si="1"/>
        <v>Thu</v>
      </c>
      <c r="V4" s="22" t="str">
        <f t="shared" si="1"/>
        <v>Fri</v>
      </c>
      <c r="W4" s="22" t="str">
        <f t="shared" si="1"/>
        <v>Sat</v>
      </c>
      <c r="X4" s="266"/>
      <c r="Y4" s="266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3"/>
      <c r="J5" s="33"/>
      <c r="K5" s="96">
        <v>8</v>
      </c>
      <c r="L5" s="96">
        <v>8</v>
      </c>
      <c r="M5" s="96">
        <v>8</v>
      </c>
      <c r="N5" s="96">
        <v>8</v>
      </c>
      <c r="O5" s="96">
        <v>8</v>
      </c>
      <c r="P5" s="33"/>
      <c r="Q5" s="33"/>
      <c r="R5" s="96">
        <v>8</v>
      </c>
      <c r="S5" s="96">
        <v>8</v>
      </c>
      <c r="T5" s="96">
        <v>8</v>
      </c>
      <c r="U5" s="96">
        <v>8</v>
      </c>
      <c r="V5" s="96">
        <v>8</v>
      </c>
      <c r="W5" s="33"/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64</v>
      </c>
      <c r="G6" s="29">
        <f t="shared" si="5"/>
        <v>64</v>
      </c>
      <c r="H6" s="30">
        <v>0</v>
      </c>
      <c r="I6" s="33"/>
      <c r="J6" s="33"/>
      <c r="K6" s="96">
        <v>8</v>
      </c>
      <c r="L6" s="96">
        <v>8</v>
      </c>
      <c r="M6" s="96">
        <v>8</v>
      </c>
      <c r="N6" s="38"/>
      <c r="O6" s="38"/>
      <c r="P6" s="33"/>
      <c r="Q6" s="33"/>
      <c r="R6" s="96">
        <v>8</v>
      </c>
      <c r="S6" s="96">
        <v>8</v>
      </c>
      <c r="T6" s="96">
        <v>8</v>
      </c>
      <c r="U6" s="96">
        <v>8</v>
      </c>
      <c r="V6" s="96">
        <v>8</v>
      </c>
      <c r="W6" s="33"/>
      <c r="X6" s="29">
        <f t="shared" si="6"/>
        <v>2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72</v>
      </c>
      <c r="G7" s="29">
        <f t="shared" si="5"/>
        <v>72</v>
      </c>
      <c r="H7" s="30">
        <v>0</v>
      </c>
      <c r="I7" s="33"/>
      <c r="J7" s="33"/>
      <c r="K7" s="96">
        <v>8</v>
      </c>
      <c r="L7" s="96">
        <v>8</v>
      </c>
      <c r="M7" s="96">
        <v>8</v>
      </c>
      <c r="N7" s="96">
        <v>8</v>
      </c>
      <c r="O7" s="96">
        <v>8</v>
      </c>
      <c r="P7" s="33"/>
      <c r="Q7" s="33"/>
      <c r="R7" s="96">
        <v>8</v>
      </c>
      <c r="S7" s="38"/>
      <c r="T7" s="96">
        <v>8</v>
      </c>
      <c r="U7" s="96">
        <v>8</v>
      </c>
      <c r="V7" s="96">
        <v>8</v>
      </c>
      <c r="W7" s="33"/>
      <c r="X7" s="29">
        <f t="shared" si="6"/>
        <v>1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3"/>
      <c r="J8" s="33"/>
      <c r="K8" s="32">
        <v>8</v>
      </c>
      <c r="L8" s="96">
        <v>8</v>
      </c>
      <c r="M8" s="96">
        <v>8</v>
      </c>
      <c r="N8" s="96">
        <v>8</v>
      </c>
      <c r="O8" s="96">
        <v>8</v>
      </c>
      <c r="P8" s="33"/>
      <c r="Q8" s="33"/>
      <c r="R8" s="96">
        <v>8</v>
      </c>
      <c r="S8" s="96">
        <v>8</v>
      </c>
      <c r="T8" s="96">
        <v>8</v>
      </c>
      <c r="U8" s="96">
        <v>8</v>
      </c>
      <c r="V8" s="96">
        <v>8</v>
      </c>
      <c r="W8" s="33"/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64</v>
      </c>
      <c r="G9" s="29">
        <f t="shared" si="5"/>
        <v>64</v>
      </c>
      <c r="H9" s="30">
        <v>0</v>
      </c>
      <c r="I9" s="33"/>
      <c r="J9" s="33"/>
      <c r="K9" s="38"/>
      <c r="L9" s="96">
        <v>8</v>
      </c>
      <c r="M9" s="96">
        <v>8</v>
      </c>
      <c r="N9" s="96">
        <v>8</v>
      </c>
      <c r="O9" s="96">
        <v>8</v>
      </c>
      <c r="P9" s="33"/>
      <c r="Q9" s="33"/>
      <c r="R9" s="96">
        <v>8</v>
      </c>
      <c r="S9" s="96">
        <v>8</v>
      </c>
      <c r="T9" s="96">
        <v>8</v>
      </c>
      <c r="U9" s="96">
        <v>8</v>
      </c>
      <c r="V9" s="97"/>
      <c r="W9" s="33"/>
      <c r="X9" s="29">
        <f t="shared" si="6"/>
        <v>2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3"/>
      <c r="J10" s="33"/>
      <c r="K10" s="96">
        <v>8</v>
      </c>
      <c r="L10" s="96">
        <v>8</v>
      </c>
      <c r="M10" s="96">
        <v>8</v>
      </c>
      <c r="N10" s="96">
        <v>8</v>
      </c>
      <c r="O10" s="96">
        <v>8</v>
      </c>
      <c r="P10" s="33"/>
      <c r="Q10" s="33"/>
      <c r="R10" s="96">
        <v>8</v>
      </c>
      <c r="S10" s="96">
        <v>8</v>
      </c>
      <c r="T10" s="96">
        <v>8</v>
      </c>
      <c r="U10" s="96">
        <v>8</v>
      </c>
      <c r="V10" s="38"/>
      <c r="W10" s="33"/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432</v>
      </c>
      <c r="G16" s="194">
        <f t="shared" si="8"/>
        <v>432</v>
      </c>
      <c r="H16" s="194">
        <f t="shared" si="8"/>
        <v>0</v>
      </c>
      <c r="I16" s="194">
        <f t="shared" si="8"/>
        <v>0</v>
      </c>
      <c r="J16" s="194">
        <f t="shared" si="8"/>
        <v>0</v>
      </c>
      <c r="K16" s="194">
        <f t="shared" si="8"/>
        <v>40</v>
      </c>
      <c r="L16" s="194">
        <f t="shared" si="8"/>
        <v>48</v>
      </c>
      <c r="M16" s="194">
        <f t="shared" si="8"/>
        <v>48</v>
      </c>
      <c r="N16" s="194">
        <f t="shared" si="8"/>
        <v>40</v>
      </c>
      <c r="O16" s="194">
        <f t="shared" si="8"/>
        <v>40</v>
      </c>
      <c r="P16" s="194">
        <f t="shared" si="8"/>
        <v>0</v>
      </c>
      <c r="Q16" s="194">
        <f t="shared" si="8"/>
        <v>0</v>
      </c>
      <c r="R16" s="194">
        <f t="shared" si="8"/>
        <v>48</v>
      </c>
      <c r="S16" s="194">
        <f t="shared" si="8"/>
        <v>40</v>
      </c>
      <c r="T16" s="194">
        <f t="shared" si="8"/>
        <v>48</v>
      </c>
      <c r="U16" s="194">
        <f t="shared" si="8"/>
        <v>48</v>
      </c>
      <c r="V16" s="194">
        <f t="shared" si="8"/>
        <v>32</v>
      </c>
      <c r="W16" s="194">
        <f t="shared" si="8"/>
        <v>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5" t="s">
        <v>1</v>
      </c>
      <c r="B19" s="265" t="s">
        <v>2</v>
      </c>
      <c r="C19" s="265" t="s">
        <v>3</v>
      </c>
      <c r="D19" s="265" t="s">
        <v>4</v>
      </c>
      <c r="E19" s="270" t="s">
        <v>5</v>
      </c>
      <c r="F19" s="271"/>
      <c r="G19" s="271"/>
      <c r="H19" s="272"/>
      <c r="I19" s="44">
        <f>W3+1</f>
        <v>45459</v>
      </c>
      <c r="J19" s="44">
        <f t="shared" ref="J19:W19" si="9">I19+1</f>
        <v>45460</v>
      </c>
      <c r="K19" s="44">
        <f t="shared" si="9"/>
        <v>45461</v>
      </c>
      <c r="L19" s="14">
        <f t="shared" si="9"/>
        <v>45462</v>
      </c>
      <c r="M19" s="44">
        <f t="shared" si="9"/>
        <v>45463</v>
      </c>
      <c r="N19" s="44">
        <f t="shared" si="9"/>
        <v>45464</v>
      </c>
      <c r="O19" s="44">
        <f t="shared" si="9"/>
        <v>45465</v>
      </c>
      <c r="P19" s="44">
        <f t="shared" si="9"/>
        <v>45466</v>
      </c>
      <c r="Q19" s="44">
        <f t="shared" si="9"/>
        <v>45467</v>
      </c>
      <c r="R19" s="44">
        <f t="shared" si="9"/>
        <v>45468</v>
      </c>
      <c r="S19" s="44">
        <f t="shared" si="9"/>
        <v>45469</v>
      </c>
      <c r="T19" s="44">
        <f t="shared" si="9"/>
        <v>45470</v>
      </c>
      <c r="U19" s="44">
        <f t="shared" si="9"/>
        <v>45471</v>
      </c>
      <c r="V19" s="44">
        <f t="shared" si="9"/>
        <v>45472</v>
      </c>
      <c r="W19" s="44">
        <f t="shared" si="9"/>
        <v>45473</v>
      </c>
      <c r="X19" s="98"/>
      <c r="Y19" s="265" t="s">
        <v>6</v>
      </c>
      <c r="Z19" s="265" t="s">
        <v>7</v>
      </c>
      <c r="AA19" s="13"/>
      <c r="AB19" s="15"/>
    </row>
    <row r="20" spans="1:35" ht="26.25" customHeight="1">
      <c r="A20" s="266"/>
      <c r="B20" s="266"/>
      <c r="C20" s="266"/>
      <c r="D20" s="266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W20" si="10">IF(I19="","",TEXT(WEEKDAY(I19), "ddd"))</f>
        <v>Sun</v>
      </c>
      <c r="J20" s="22" t="str">
        <f t="shared" si="10"/>
        <v>Mon</v>
      </c>
      <c r="K20" s="22" t="str">
        <f t="shared" si="10"/>
        <v>Tue</v>
      </c>
      <c r="L20" s="22" t="str">
        <f t="shared" si="10"/>
        <v>Wed</v>
      </c>
      <c r="M20" s="22" t="str">
        <f t="shared" si="10"/>
        <v>Thu</v>
      </c>
      <c r="N20" s="22" t="str">
        <f t="shared" si="10"/>
        <v>Fri</v>
      </c>
      <c r="O20" s="22" t="str">
        <f t="shared" si="10"/>
        <v>Sat</v>
      </c>
      <c r="P20" s="21" t="str">
        <f t="shared" si="10"/>
        <v>Sun</v>
      </c>
      <c r="Q20" s="21" t="str">
        <f t="shared" si="10"/>
        <v>Mon</v>
      </c>
      <c r="R20" s="22" t="str">
        <f t="shared" si="10"/>
        <v>Tue</v>
      </c>
      <c r="S20" s="22" t="str">
        <f t="shared" si="10"/>
        <v>Wed</v>
      </c>
      <c r="T20" s="22" t="str">
        <f t="shared" si="10"/>
        <v>Thu</v>
      </c>
      <c r="U20" s="22" t="str">
        <f t="shared" si="10"/>
        <v>Fri</v>
      </c>
      <c r="V20" s="22" t="str">
        <f t="shared" si="10"/>
        <v>Sat</v>
      </c>
      <c r="W20" s="22" t="str">
        <f t="shared" si="10"/>
        <v>Sun</v>
      </c>
      <c r="X20" s="99"/>
      <c r="Y20" s="266"/>
      <c r="Z20" s="266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80</v>
      </c>
      <c r="E21" s="29">
        <f t="shared" ref="E21:E26" si="12">Z21*8</f>
        <v>80</v>
      </c>
      <c r="F21" s="29">
        <f t="shared" ref="F21:F26" si="13">G21+H21</f>
        <v>80</v>
      </c>
      <c r="G21" s="29">
        <f t="shared" ref="G21:G26" si="14">SUM(I21:X21)</f>
        <v>80</v>
      </c>
      <c r="H21" s="30">
        <v>0</v>
      </c>
      <c r="I21" s="33"/>
      <c r="J21" s="96">
        <v>8</v>
      </c>
      <c r="K21" s="96">
        <v>8</v>
      </c>
      <c r="L21" s="96">
        <v>8</v>
      </c>
      <c r="M21" s="96">
        <v>8</v>
      </c>
      <c r="N21" s="96">
        <v>8</v>
      </c>
      <c r="O21" s="33"/>
      <c r="P21" s="33"/>
      <c r="Q21" s="96">
        <v>8</v>
      </c>
      <c r="R21" s="96">
        <v>8</v>
      </c>
      <c r="S21" s="96">
        <v>8</v>
      </c>
      <c r="T21" s="96">
        <v>8</v>
      </c>
      <c r="U21" s="96">
        <v>8</v>
      </c>
      <c r="V21" s="100"/>
      <c r="W21" s="33"/>
      <c r="X21" s="96"/>
      <c r="Y21" s="29">
        <f t="shared" ref="Y21:Y26" si="15">Z21-COUNTA(I21:X21)</f>
        <v>0</v>
      </c>
      <c r="Z21" s="34">
        <v>10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80</v>
      </c>
      <c r="E22" s="29">
        <f t="shared" si="12"/>
        <v>80</v>
      </c>
      <c r="F22" s="29">
        <f t="shared" si="13"/>
        <v>80</v>
      </c>
      <c r="G22" s="29">
        <f t="shared" si="14"/>
        <v>80</v>
      </c>
      <c r="H22" s="30">
        <v>0</v>
      </c>
      <c r="I22" s="33"/>
      <c r="J22" s="96">
        <v>8</v>
      </c>
      <c r="K22" s="96">
        <v>8</v>
      </c>
      <c r="L22" s="96">
        <v>8</v>
      </c>
      <c r="M22" s="96">
        <v>8</v>
      </c>
      <c r="N22" s="96">
        <v>8</v>
      </c>
      <c r="O22" s="33"/>
      <c r="P22" s="33"/>
      <c r="Q22" s="96">
        <v>8</v>
      </c>
      <c r="R22" s="96">
        <v>8</v>
      </c>
      <c r="S22" s="96">
        <v>8</v>
      </c>
      <c r="T22" s="96">
        <v>8</v>
      </c>
      <c r="U22" s="96">
        <v>8</v>
      </c>
      <c r="V22" s="100"/>
      <c r="W22" s="33"/>
      <c r="X22" s="96"/>
      <c r="Y22" s="29">
        <f t="shared" si="15"/>
        <v>0</v>
      </c>
      <c r="Z22" s="34">
        <v>10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80</v>
      </c>
      <c r="E23" s="29">
        <f t="shared" si="12"/>
        <v>80</v>
      </c>
      <c r="F23" s="29">
        <f t="shared" si="13"/>
        <v>80</v>
      </c>
      <c r="G23" s="29">
        <f t="shared" si="14"/>
        <v>80</v>
      </c>
      <c r="H23" s="30">
        <v>0</v>
      </c>
      <c r="I23" s="33"/>
      <c r="J23" s="96">
        <v>8</v>
      </c>
      <c r="K23" s="96">
        <v>8</v>
      </c>
      <c r="L23" s="96">
        <v>8</v>
      </c>
      <c r="M23" s="96">
        <v>8</v>
      </c>
      <c r="N23" s="96">
        <v>8</v>
      </c>
      <c r="O23" s="33"/>
      <c r="P23" s="33"/>
      <c r="Q23" s="96">
        <v>8</v>
      </c>
      <c r="R23" s="101">
        <v>8</v>
      </c>
      <c r="S23" s="96">
        <v>8</v>
      </c>
      <c r="T23" s="96">
        <v>8</v>
      </c>
      <c r="U23" s="96">
        <v>8</v>
      </c>
      <c r="V23" s="100"/>
      <c r="W23" s="33"/>
      <c r="X23" s="96"/>
      <c r="Y23" s="29">
        <f t="shared" si="15"/>
        <v>0</v>
      </c>
      <c r="Z23" s="34">
        <v>10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80</v>
      </c>
      <c r="E24" s="29">
        <f t="shared" si="12"/>
        <v>80</v>
      </c>
      <c r="F24" s="29">
        <f t="shared" si="13"/>
        <v>80</v>
      </c>
      <c r="G24" s="29">
        <f t="shared" si="14"/>
        <v>80</v>
      </c>
      <c r="H24" s="30">
        <v>0</v>
      </c>
      <c r="I24" s="33"/>
      <c r="J24" s="96">
        <v>8</v>
      </c>
      <c r="K24" s="96">
        <v>8</v>
      </c>
      <c r="L24" s="96">
        <v>8</v>
      </c>
      <c r="M24" s="96">
        <v>8</v>
      </c>
      <c r="N24" s="96">
        <v>8</v>
      </c>
      <c r="O24" s="33"/>
      <c r="P24" s="33"/>
      <c r="Q24" s="96">
        <v>8</v>
      </c>
      <c r="R24" s="96">
        <v>8</v>
      </c>
      <c r="S24" s="96">
        <v>8</v>
      </c>
      <c r="T24" s="96">
        <v>8</v>
      </c>
      <c r="U24" s="96">
        <v>8</v>
      </c>
      <c r="V24" s="100"/>
      <c r="W24" s="33"/>
      <c r="X24" s="96"/>
      <c r="Y24" s="29">
        <f t="shared" si="15"/>
        <v>0</v>
      </c>
      <c r="Z24" s="34">
        <v>10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80</v>
      </c>
      <c r="E25" s="29">
        <f t="shared" si="12"/>
        <v>80</v>
      </c>
      <c r="F25" s="29">
        <f t="shared" si="13"/>
        <v>80</v>
      </c>
      <c r="G25" s="29">
        <f t="shared" si="14"/>
        <v>80</v>
      </c>
      <c r="H25" s="30">
        <v>0</v>
      </c>
      <c r="I25" s="33"/>
      <c r="J25" s="96">
        <v>8</v>
      </c>
      <c r="K25" s="96">
        <v>8</v>
      </c>
      <c r="L25" s="96">
        <v>8</v>
      </c>
      <c r="M25" s="96">
        <v>8</v>
      </c>
      <c r="N25" s="96">
        <v>8</v>
      </c>
      <c r="O25" s="33"/>
      <c r="P25" s="33"/>
      <c r="Q25" s="96">
        <v>8</v>
      </c>
      <c r="R25" s="101">
        <v>8</v>
      </c>
      <c r="S25" s="96">
        <v>8</v>
      </c>
      <c r="T25" s="96">
        <v>8</v>
      </c>
      <c r="U25" s="96">
        <v>8</v>
      </c>
      <c r="V25" s="100"/>
      <c r="W25" s="33"/>
      <c r="X25" s="96"/>
      <c r="Y25" s="29">
        <f t="shared" si="15"/>
        <v>0</v>
      </c>
      <c r="Z25" s="34">
        <v>10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80</v>
      </c>
      <c r="E26" s="29">
        <f t="shared" si="12"/>
        <v>80</v>
      </c>
      <c r="F26" s="29">
        <f t="shared" si="13"/>
        <v>80</v>
      </c>
      <c r="G26" s="29">
        <f t="shared" si="14"/>
        <v>80</v>
      </c>
      <c r="H26" s="30">
        <v>0</v>
      </c>
      <c r="I26" s="33"/>
      <c r="J26" s="96">
        <v>8</v>
      </c>
      <c r="K26" s="96">
        <v>8</v>
      </c>
      <c r="L26" s="96">
        <v>8</v>
      </c>
      <c r="M26" s="96">
        <v>8</v>
      </c>
      <c r="N26" s="96">
        <v>8</v>
      </c>
      <c r="O26" s="33"/>
      <c r="P26" s="33"/>
      <c r="Q26" s="96">
        <v>8</v>
      </c>
      <c r="R26" s="96">
        <v>8</v>
      </c>
      <c r="S26" s="96">
        <v>8</v>
      </c>
      <c r="T26" s="96">
        <v>8</v>
      </c>
      <c r="U26" s="96">
        <v>8</v>
      </c>
      <c r="V26" s="33"/>
      <c r="W26" s="33"/>
      <c r="X26" s="96"/>
      <c r="Y26" s="29">
        <f t="shared" si="15"/>
        <v>0</v>
      </c>
      <c r="Z26" s="34">
        <v>10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480</v>
      </c>
      <c r="E32" s="194">
        <f t="shared" si="16"/>
        <v>480</v>
      </c>
      <c r="F32" s="194">
        <f t="shared" si="16"/>
        <v>480</v>
      </c>
      <c r="G32" s="194">
        <f t="shared" si="16"/>
        <v>480</v>
      </c>
      <c r="H32" s="194">
        <f t="shared" si="16"/>
        <v>0</v>
      </c>
      <c r="I32" s="194">
        <f t="shared" si="16"/>
        <v>0</v>
      </c>
      <c r="J32" s="194">
        <f t="shared" si="16"/>
        <v>48</v>
      </c>
      <c r="K32" s="194">
        <f t="shared" si="16"/>
        <v>48</v>
      </c>
      <c r="L32" s="194">
        <f t="shared" si="16"/>
        <v>48</v>
      </c>
      <c r="M32" s="194">
        <f t="shared" si="16"/>
        <v>48</v>
      </c>
      <c r="N32" s="194">
        <f t="shared" si="16"/>
        <v>48</v>
      </c>
      <c r="O32" s="194">
        <f t="shared" si="16"/>
        <v>0</v>
      </c>
      <c r="P32" s="194">
        <f t="shared" si="16"/>
        <v>0</v>
      </c>
      <c r="Q32" s="194">
        <f t="shared" si="16"/>
        <v>48</v>
      </c>
      <c r="R32" s="194">
        <f t="shared" si="16"/>
        <v>48</v>
      </c>
      <c r="S32" s="194">
        <f t="shared" si="16"/>
        <v>48</v>
      </c>
      <c r="T32" s="194">
        <f t="shared" si="16"/>
        <v>48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160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144</v>
      </c>
      <c r="C37" s="60">
        <f t="shared" si="18"/>
        <v>160</v>
      </c>
      <c r="D37" s="61">
        <f t="shared" si="19"/>
        <v>144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160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160</v>
      </c>
      <c r="C39" s="60">
        <f t="shared" si="18"/>
        <v>160</v>
      </c>
      <c r="D39" s="61">
        <f t="shared" si="19"/>
        <v>160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144</v>
      </c>
      <c r="C40" s="60">
        <f t="shared" si="18"/>
        <v>160</v>
      </c>
      <c r="D40" s="61">
        <f t="shared" si="19"/>
        <v>144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152</v>
      </c>
      <c r="C41" s="67">
        <f t="shared" si="18"/>
        <v>160</v>
      </c>
      <c r="D41" s="68">
        <f t="shared" si="19"/>
        <v>152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7" t="s">
        <v>0</v>
      </c>
      <c r="B49" s="268"/>
      <c r="C49" s="269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10</v>
      </c>
      <c r="C51" s="76">
        <f>B51*8</f>
        <v>80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/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7" t="s">
        <v>22</v>
      </c>
      <c r="B56" s="268"/>
      <c r="C56" s="269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10</v>
      </c>
      <c r="C58" s="79">
        <f t="shared" ref="C58:C59" si="27">B58*8</f>
        <v>80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10</v>
      </c>
      <c r="C60" s="81">
        <f t="shared" si="28"/>
        <v>80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160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  <row r="998" ht="13"/>
    <row r="999" ht="13"/>
    <row r="1000" ht="13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FF00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baseColWidth="10" defaultColWidth="12.5" defaultRowHeight="15.75" customHeight="1"/>
  <cols>
    <col min="1" max="1" width="23.5" customWidth="1"/>
    <col min="2" max="2" width="11.83203125" customWidth="1"/>
    <col min="3" max="3" width="18.83203125" customWidth="1"/>
    <col min="4" max="4" width="10.5" customWidth="1"/>
    <col min="5" max="5" width="8.5" customWidth="1"/>
    <col min="6" max="6" width="7.5" customWidth="1"/>
    <col min="7" max="7" width="9.5" customWidth="1"/>
    <col min="8" max="8" width="9" customWidth="1"/>
    <col min="9" max="9" width="6.33203125" customWidth="1"/>
    <col min="10" max="11" width="6.5" customWidth="1"/>
    <col min="12" max="12" width="5.83203125" customWidth="1"/>
    <col min="13" max="14" width="6.5" customWidth="1"/>
    <col min="15" max="15" width="6.1640625" customWidth="1"/>
    <col min="16" max="16" width="6.33203125" customWidth="1"/>
    <col min="17" max="20" width="6.5" customWidth="1"/>
    <col min="21" max="21" width="6.6640625" customWidth="1"/>
    <col min="22" max="22" width="6.33203125" customWidth="1"/>
    <col min="23" max="23" width="6.5" customWidth="1"/>
    <col min="24" max="24" width="9.33203125" customWidth="1"/>
    <col min="25" max="25" width="9.5" customWidth="1"/>
    <col min="26" max="26" width="9.33203125" customWidth="1"/>
    <col min="27" max="27" width="8.6640625" customWidth="1"/>
    <col min="28" max="28" width="15.33203125" customWidth="1"/>
    <col min="29" max="29" width="14" customWidth="1"/>
    <col min="30" max="30" width="7.5" customWidth="1"/>
    <col min="31" max="31" width="17.6640625" customWidth="1"/>
    <col min="32" max="35" width="7.5" customWidth="1"/>
  </cols>
  <sheetData>
    <row r="1" spans="1:35" ht="15.75" customHeight="1">
      <c r="A1" s="1"/>
      <c r="B1" s="2"/>
      <c r="C1" s="3">
        <v>45474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5" t="s">
        <v>1</v>
      </c>
      <c r="B3" s="265" t="s">
        <v>2</v>
      </c>
      <c r="C3" s="265" t="s">
        <v>3</v>
      </c>
      <c r="D3" s="265" t="s">
        <v>4</v>
      </c>
      <c r="E3" s="270" t="s">
        <v>5</v>
      </c>
      <c r="F3" s="271"/>
      <c r="G3" s="271"/>
      <c r="H3" s="272"/>
      <c r="I3" s="14">
        <f>C1</f>
        <v>45474</v>
      </c>
      <c r="J3" s="14">
        <f t="shared" ref="J3:W3" si="0">I3+1</f>
        <v>45475</v>
      </c>
      <c r="K3" s="14">
        <f t="shared" si="0"/>
        <v>45476</v>
      </c>
      <c r="L3" s="14">
        <f t="shared" si="0"/>
        <v>45477</v>
      </c>
      <c r="M3" s="14">
        <f t="shared" si="0"/>
        <v>45478</v>
      </c>
      <c r="N3" s="14">
        <f t="shared" si="0"/>
        <v>45479</v>
      </c>
      <c r="O3" s="14">
        <f t="shared" si="0"/>
        <v>45480</v>
      </c>
      <c r="P3" s="14">
        <f t="shared" si="0"/>
        <v>45481</v>
      </c>
      <c r="Q3" s="14">
        <f t="shared" si="0"/>
        <v>45482</v>
      </c>
      <c r="R3" s="14">
        <f t="shared" si="0"/>
        <v>45483</v>
      </c>
      <c r="S3" s="14">
        <f t="shared" si="0"/>
        <v>45484</v>
      </c>
      <c r="T3" s="14">
        <f t="shared" si="0"/>
        <v>45485</v>
      </c>
      <c r="U3" s="14">
        <f t="shared" si="0"/>
        <v>45486</v>
      </c>
      <c r="V3" s="14">
        <f t="shared" si="0"/>
        <v>45487</v>
      </c>
      <c r="W3" s="14">
        <f t="shared" si="0"/>
        <v>45488</v>
      </c>
      <c r="X3" s="265" t="s">
        <v>6</v>
      </c>
      <c r="Y3" s="265" t="s">
        <v>7</v>
      </c>
      <c r="Z3" s="13"/>
      <c r="AA3" s="15"/>
      <c r="AB3" s="15"/>
    </row>
    <row r="4" spans="1:35" ht="26.25" customHeight="1">
      <c r="A4" s="266"/>
      <c r="B4" s="266"/>
      <c r="C4" s="266"/>
      <c r="D4" s="266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Mon</v>
      </c>
      <c r="J4" s="21" t="str">
        <f t="shared" si="1"/>
        <v>Tue</v>
      </c>
      <c r="K4" s="21" t="str">
        <f t="shared" si="1"/>
        <v>Wed</v>
      </c>
      <c r="L4" s="22" t="str">
        <f t="shared" si="1"/>
        <v>Thu</v>
      </c>
      <c r="M4" s="22" t="str">
        <f t="shared" si="1"/>
        <v>Fri</v>
      </c>
      <c r="N4" s="20" t="str">
        <f t="shared" si="1"/>
        <v>Sat</v>
      </c>
      <c r="O4" s="20" t="str">
        <f t="shared" si="1"/>
        <v>Sun</v>
      </c>
      <c r="P4" s="22" t="str">
        <f t="shared" si="1"/>
        <v>Mon</v>
      </c>
      <c r="Q4" s="22" t="str">
        <f t="shared" si="1"/>
        <v>Tue</v>
      </c>
      <c r="R4" s="22" t="str">
        <f t="shared" si="1"/>
        <v>Wed</v>
      </c>
      <c r="S4" s="22" t="str">
        <f t="shared" si="1"/>
        <v>Thu</v>
      </c>
      <c r="T4" s="22" t="str">
        <f t="shared" si="1"/>
        <v>Fri</v>
      </c>
      <c r="U4" s="22" t="str">
        <f t="shared" si="1"/>
        <v>Sat</v>
      </c>
      <c r="V4" s="22" t="str">
        <f t="shared" si="1"/>
        <v>Sun</v>
      </c>
      <c r="W4" s="22" t="str">
        <f t="shared" si="1"/>
        <v>Mon</v>
      </c>
      <c r="X4" s="266"/>
      <c r="Y4" s="266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88</v>
      </c>
      <c r="E5" s="29">
        <f t="shared" ref="E5:E10" si="3">Y5*8</f>
        <v>88</v>
      </c>
      <c r="F5" s="29">
        <f t="shared" ref="F5:F10" si="4">G5+H5</f>
        <v>88</v>
      </c>
      <c r="G5" s="29">
        <f t="shared" ref="G5:G10" si="5">SUM(I5:W5)</f>
        <v>88</v>
      </c>
      <c r="H5" s="30">
        <v>0</v>
      </c>
      <c r="I5" s="32">
        <v>8</v>
      </c>
      <c r="J5" s="32">
        <v>8</v>
      </c>
      <c r="K5" s="32">
        <v>8</v>
      </c>
      <c r="L5" s="32">
        <v>8</v>
      </c>
      <c r="M5" s="32">
        <v>8</v>
      </c>
      <c r="N5" s="33"/>
      <c r="O5" s="33"/>
      <c r="P5" s="32">
        <v>8</v>
      </c>
      <c r="Q5" s="32">
        <v>8</v>
      </c>
      <c r="R5" s="32">
        <v>8</v>
      </c>
      <c r="S5" s="32">
        <v>8</v>
      </c>
      <c r="T5" s="32">
        <v>8</v>
      </c>
      <c r="U5" s="33"/>
      <c r="V5" s="33"/>
      <c r="W5" s="32">
        <v>8</v>
      </c>
      <c r="X5" s="29">
        <f t="shared" ref="X5:X15" si="6">Y5-COUNTA(I5:W5)</f>
        <v>0</v>
      </c>
      <c r="Y5" s="34">
        <v>11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88</v>
      </c>
      <c r="E6" s="29">
        <f t="shared" si="3"/>
        <v>88</v>
      </c>
      <c r="F6" s="29">
        <f t="shared" si="4"/>
        <v>88</v>
      </c>
      <c r="G6" s="29">
        <f t="shared" si="5"/>
        <v>88</v>
      </c>
      <c r="H6" s="30">
        <v>0</v>
      </c>
      <c r="I6" s="32">
        <v>8</v>
      </c>
      <c r="J6" s="32">
        <v>8</v>
      </c>
      <c r="K6" s="32">
        <v>8</v>
      </c>
      <c r="L6" s="32">
        <v>8</v>
      </c>
      <c r="M6" s="32">
        <v>8</v>
      </c>
      <c r="N6" s="33"/>
      <c r="O6" s="33"/>
      <c r="P6" s="32">
        <v>8</v>
      </c>
      <c r="Q6" s="32">
        <v>8</v>
      </c>
      <c r="R6" s="32">
        <v>8</v>
      </c>
      <c r="S6" s="32">
        <v>8</v>
      </c>
      <c r="T6" s="32">
        <v>8</v>
      </c>
      <c r="U6" s="33"/>
      <c r="V6" s="33"/>
      <c r="W6" s="32">
        <v>8</v>
      </c>
      <c r="X6" s="29">
        <f t="shared" si="6"/>
        <v>0</v>
      </c>
      <c r="Y6" s="34">
        <v>11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88</v>
      </c>
      <c r="E7" s="29">
        <f t="shared" si="3"/>
        <v>88</v>
      </c>
      <c r="F7" s="29">
        <f t="shared" si="4"/>
        <v>80</v>
      </c>
      <c r="G7" s="29">
        <f t="shared" si="5"/>
        <v>80</v>
      </c>
      <c r="H7" s="30">
        <v>0</v>
      </c>
      <c r="I7" s="38"/>
      <c r="J7" s="32">
        <v>8</v>
      </c>
      <c r="K7" s="32">
        <v>8</v>
      </c>
      <c r="L7" s="32">
        <v>8</v>
      </c>
      <c r="M7" s="32">
        <v>8</v>
      </c>
      <c r="N7" s="33"/>
      <c r="O7" s="33"/>
      <c r="P7" s="32">
        <v>8</v>
      </c>
      <c r="Q7" s="32">
        <v>8</v>
      </c>
      <c r="R7" s="32">
        <v>8</v>
      </c>
      <c r="S7" s="32">
        <v>8</v>
      </c>
      <c r="T7" s="32">
        <v>8</v>
      </c>
      <c r="U7" s="33"/>
      <c r="V7" s="33"/>
      <c r="W7" s="32">
        <v>8</v>
      </c>
      <c r="X7" s="29">
        <f t="shared" si="6"/>
        <v>1</v>
      </c>
      <c r="Y7" s="34">
        <v>11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88</v>
      </c>
      <c r="E8" s="29">
        <f t="shared" si="3"/>
        <v>88</v>
      </c>
      <c r="F8" s="29">
        <f t="shared" si="4"/>
        <v>88</v>
      </c>
      <c r="G8" s="29">
        <f t="shared" si="5"/>
        <v>88</v>
      </c>
      <c r="H8" s="30">
        <v>0</v>
      </c>
      <c r="I8" s="32">
        <v>8</v>
      </c>
      <c r="J8" s="32">
        <v>8</v>
      </c>
      <c r="K8" s="32">
        <v>8</v>
      </c>
      <c r="L8" s="32">
        <v>8</v>
      </c>
      <c r="M8" s="32">
        <v>8</v>
      </c>
      <c r="N8" s="33"/>
      <c r="O8" s="33"/>
      <c r="P8" s="32">
        <v>8</v>
      </c>
      <c r="Q8" s="32">
        <v>8</v>
      </c>
      <c r="R8" s="32">
        <v>8</v>
      </c>
      <c r="S8" s="32">
        <v>8</v>
      </c>
      <c r="T8" s="32">
        <v>8</v>
      </c>
      <c r="U8" s="33"/>
      <c r="V8" s="33"/>
      <c r="W8" s="32">
        <v>8</v>
      </c>
      <c r="X8" s="29">
        <f t="shared" si="6"/>
        <v>0</v>
      </c>
      <c r="Y8" s="34">
        <v>11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88</v>
      </c>
      <c r="E9" s="29">
        <f t="shared" si="3"/>
        <v>88</v>
      </c>
      <c r="F9" s="29">
        <f t="shared" si="4"/>
        <v>80</v>
      </c>
      <c r="G9" s="29">
        <f t="shared" si="5"/>
        <v>80</v>
      </c>
      <c r="H9" s="30">
        <v>0</v>
      </c>
      <c r="I9" s="32">
        <v>8</v>
      </c>
      <c r="J9" s="32">
        <v>8</v>
      </c>
      <c r="K9" s="32">
        <v>8</v>
      </c>
      <c r="L9" s="32">
        <v>8</v>
      </c>
      <c r="M9" s="32">
        <v>8</v>
      </c>
      <c r="N9" s="33"/>
      <c r="O9" s="33"/>
      <c r="P9" s="32">
        <v>8</v>
      </c>
      <c r="Q9" s="32">
        <v>8</v>
      </c>
      <c r="R9" s="32">
        <v>8</v>
      </c>
      <c r="S9" s="32">
        <v>8</v>
      </c>
      <c r="T9" s="32">
        <v>8</v>
      </c>
      <c r="U9" s="33"/>
      <c r="V9" s="47"/>
      <c r="W9" s="97"/>
      <c r="X9" s="29">
        <f t="shared" si="6"/>
        <v>1</v>
      </c>
      <c r="Y9" s="34">
        <v>11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88</v>
      </c>
      <c r="E10" s="29">
        <f t="shared" si="3"/>
        <v>88</v>
      </c>
      <c r="F10" s="29">
        <f t="shared" si="4"/>
        <v>80</v>
      </c>
      <c r="G10" s="29">
        <f t="shared" si="5"/>
        <v>80</v>
      </c>
      <c r="H10" s="30">
        <v>0</v>
      </c>
      <c r="I10" s="32">
        <v>8</v>
      </c>
      <c r="J10" s="32">
        <v>8</v>
      </c>
      <c r="K10" s="32">
        <v>8</v>
      </c>
      <c r="L10" s="32">
        <v>8</v>
      </c>
      <c r="M10" s="32">
        <v>8</v>
      </c>
      <c r="N10" s="33"/>
      <c r="O10" s="33"/>
      <c r="P10" s="32">
        <v>8</v>
      </c>
      <c r="Q10" s="32">
        <v>8</v>
      </c>
      <c r="R10" s="32">
        <v>8</v>
      </c>
      <c r="S10" s="32">
        <v>8</v>
      </c>
      <c r="T10" s="38"/>
      <c r="U10" s="33"/>
      <c r="V10" s="33"/>
      <c r="W10" s="32">
        <v>8</v>
      </c>
      <c r="X10" s="29">
        <f t="shared" si="6"/>
        <v>1</v>
      </c>
      <c r="Y10" s="34">
        <v>11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528</v>
      </c>
      <c r="E16" s="194">
        <f t="shared" si="8"/>
        <v>528</v>
      </c>
      <c r="F16" s="194">
        <f t="shared" si="8"/>
        <v>504</v>
      </c>
      <c r="G16" s="194">
        <f t="shared" si="8"/>
        <v>504</v>
      </c>
      <c r="H16" s="194">
        <f t="shared" si="8"/>
        <v>0</v>
      </c>
      <c r="I16" s="194">
        <f t="shared" si="8"/>
        <v>40</v>
      </c>
      <c r="J16" s="194">
        <f t="shared" si="8"/>
        <v>48</v>
      </c>
      <c r="K16" s="194">
        <f t="shared" si="8"/>
        <v>48</v>
      </c>
      <c r="L16" s="194">
        <f t="shared" si="8"/>
        <v>48</v>
      </c>
      <c r="M16" s="194">
        <f t="shared" si="8"/>
        <v>48</v>
      </c>
      <c r="N16" s="194">
        <f t="shared" si="8"/>
        <v>0</v>
      </c>
      <c r="O16" s="194">
        <f t="shared" si="8"/>
        <v>0</v>
      </c>
      <c r="P16" s="194">
        <f t="shared" si="8"/>
        <v>48</v>
      </c>
      <c r="Q16" s="194">
        <f t="shared" si="8"/>
        <v>48</v>
      </c>
      <c r="R16" s="194">
        <f t="shared" si="8"/>
        <v>48</v>
      </c>
      <c r="S16" s="194">
        <f t="shared" si="8"/>
        <v>48</v>
      </c>
      <c r="T16" s="194">
        <f t="shared" si="8"/>
        <v>40</v>
      </c>
      <c r="U16" s="194">
        <f t="shared" si="8"/>
        <v>0</v>
      </c>
      <c r="V16" s="194">
        <f t="shared" si="8"/>
        <v>0</v>
      </c>
      <c r="W16" s="194">
        <f t="shared" si="8"/>
        <v>40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5" t="s">
        <v>1</v>
      </c>
      <c r="B19" s="265" t="s">
        <v>2</v>
      </c>
      <c r="C19" s="265" t="s">
        <v>3</v>
      </c>
      <c r="D19" s="265" t="s">
        <v>4</v>
      </c>
      <c r="E19" s="270" t="s">
        <v>5</v>
      </c>
      <c r="F19" s="271"/>
      <c r="G19" s="271"/>
      <c r="H19" s="272"/>
      <c r="I19" s="44">
        <f>W3+1</f>
        <v>45489</v>
      </c>
      <c r="J19" s="44">
        <f t="shared" ref="J19:X19" si="9">I19+1</f>
        <v>45490</v>
      </c>
      <c r="K19" s="44">
        <f t="shared" si="9"/>
        <v>45491</v>
      </c>
      <c r="L19" s="14">
        <f t="shared" si="9"/>
        <v>45492</v>
      </c>
      <c r="M19" s="44">
        <f t="shared" si="9"/>
        <v>45493</v>
      </c>
      <c r="N19" s="44">
        <f t="shared" si="9"/>
        <v>45494</v>
      </c>
      <c r="O19" s="44">
        <f t="shared" si="9"/>
        <v>45495</v>
      </c>
      <c r="P19" s="44">
        <f t="shared" si="9"/>
        <v>45496</v>
      </c>
      <c r="Q19" s="44">
        <f t="shared" si="9"/>
        <v>45497</v>
      </c>
      <c r="R19" s="44">
        <f t="shared" si="9"/>
        <v>45498</v>
      </c>
      <c r="S19" s="44">
        <f t="shared" si="9"/>
        <v>45499</v>
      </c>
      <c r="T19" s="44">
        <f t="shared" si="9"/>
        <v>45500</v>
      </c>
      <c r="U19" s="44">
        <f t="shared" si="9"/>
        <v>45501</v>
      </c>
      <c r="V19" s="44">
        <f t="shared" si="9"/>
        <v>45502</v>
      </c>
      <c r="W19" s="44">
        <f t="shared" si="9"/>
        <v>45503</v>
      </c>
      <c r="X19" s="44">
        <f t="shared" si="9"/>
        <v>45504</v>
      </c>
      <c r="Y19" s="265" t="s">
        <v>6</v>
      </c>
      <c r="Z19" s="265" t="s">
        <v>7</v>
      </c>
      <c r="AA19" s="13"/>
      <c r="AB19" s="15"/>
    </row>
    <row r="20" spans="1:35" ht="26.25" customHeight="1">
      <c r="A20" s="266"/>
      <c r="B20" s="266"/>
      <c r="C20" s="266"/>
      <c r="D20" s="266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Tue</v>
      </c>
      <c r="J20" s="22" t="str">
        <f t="shared" si="10"/>
        <v>Wed</v>
      </c>
      <c r="K20" s="22" t="str">
        <f t="shared" si="10"/>
        <v>Thu</v>
      </c>
      <c r="L20" s="22" t="str">
        <f t="shared" si="10"/>
        <v>Fri</v>
      </c>
      <c r="M20" s="22" t="str">
        <f t="shared" si="10"/>
        <v>Sat</v>
      </c>
      <c r="N20" s="22" t="str">
        <f t="shared" si="10"/>
        <v>Sun</v>
      </c>
      <c r="O20" s="22" t="str">
        <f t="shared" si="10"/>
        <v>Mon</v>
      </c>
      <c r="P20" s="21" t="str">
        <f t="shared" si="10"/>
        <v>Tue</v>
      </c>
      <c r="Q20" s="21" t="str">
        <f t="shared" si="10"/>
        <v>Wed</v>
      </c>
      <c r="R20" s="22" t="str">
        <f t="shared" si="10"/>
        <v>Thu</v>
      </c>
      <c r="S20" s="22" t="str">
        <f t="shared" si="10"/>
        <v>Fri</v>
      </c>
      <c r="T20" s="22" t="str">
        <f t="shared" si="10"/>
        <v>Sat</v>
      </c>
      <c r="U20" s="22" t="str">
        <f t="shared" si="10"/>
        <v>Sun</v>
      </c>
      <c r="V20" s="22" t="str">
        <f t="shared" si="10"/>
        <v>Mon</v>
      </c>
      <c r="W20" s="22" t="str">
        <f t="shared" si="10"/>
        <v>Tue</v>
      </c>
      <c r="X20" s="22" t="str">
        <f t="shared" si="10"/>
        <v>Wed</v>
      </c>
      <c r="Y20" s="266"/>
      <c r="Z20" s="266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96</v>
      </c>
      <c r="E21" s="29">
        <f t="shared" ref="E21:E26" si="12">Z21*8</f>
        <v>96</v>
      </c>
      <c r="F21" s="29">
        <f t="shared" ref="F21:F26" si="13">G21+H21</f>
        <v>96</v>
      </c>
      <c r="G21" s="29">
        <f t="shared" ref="G21:G26" si="14">SUM(I21:X21)</f>
        <v>96</v>
      </c>
      <c r="H21" s="30">
        <v>0</v>
      </c>
      <c r="I21" s="32">
        <v>8</v>
      </c>
      <c r="J21" s="32">
        <v>8</v>
      </c>
      <c r="K21" s="32">
        <v>8</v>
      </c>
      <c r="L21" s="32">
        <v>8</v>
      </c>
      <c r="M21" s="33"/>
      <c r="N21" s="33"/>
      <c r="O21" s="32">
        <v>8</v>
      </c>
      <c r="P21" s="32">
        <v>8</v>
      </c>
      <c r="Q21" s="32">
        <v>8</v>
      </c>
      <c r="R21" s="32">
        <v>8</v>
      </c>
      <c r="S21" s="32">
        <v>8</v>
      </c>
      <c r="T21" s="33"/>
      <c r="U21" s="33"/>
      <c r="V21" s="46">
        <v>8</v>
      </c>
      <c r="W21" s="32">
        <v>8</v>
      </c>
      <c r="X21" s="96">
        <v>8</v>
      </c>
      <c r="Y21" s="29">
        <f t="shared" ref="Y21:Y26" si="15">Z21-COUNTA(I21:X21)</f>
        <v>0</v>
      </c>
      <c r="Z21" s="34">
        <v>12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96</v>
      </c>
      <c r="E22" s="29">
        <f t="shared" si="12"/>
        <v>96</v>
      </c>
      <c r="F22" s="29">
        <f t="shared" si="13"/>
        <v>96</v>
      </c>
      <c r="G22" s="29">
        <f t="shared" si="14"/>
        <v>96</v>
      </c>
      <c r="H22" s="30">
        <v>0</v>
      </c>
      <c r="I22" s="32">
        <v>8</v>
      </c>
      <c r="J22" s="32">
        <v>8</v>
      </c>
      <c r="K22" s="32">
        <v>8</v>
      </c>
      <c r="L22" s="32">
        <v>8</v>
      </c>
      <c r="M22" s="33"/>
      <c r="N22" s="33"/>
      <c r="O22" s="32">
        <v>8</v>
      </c>
      <c r="P22" s="32">
        <v>8</v>
      </c>
      <c r="Q22" s="32">
        <v>8</v>
      </c>
      <c r="R22" s="32">
        <v>8</v>
      </c>
      <c r="S22" s="32">
        <v>8</v>
      </c>
      <c r="T22" s="33"/>
      <c r="U22" s="33"/>
      <c r="V22" s="46">
        <v>8</v>
      </c>
      <c r="W22" s="32">
        <v>8</v>
      </c>
      <c r="X22" s="96">
        <v>8</v>
      </c>
      <c r="Y22" s="29">
        <f t="shared" si="15"/>
        <v>0</v>
      </c>
      <c r="Z22" s="34">
        <v>12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96</v>
      </c>
      <c r="E23" s="29">
        <f t="shared" si="12"/>
        <v>96</v>
      </c>
      <c r="F23" s="29">
        <f t="shared" si="13"/>
        <v>96</v>
      </c>
      <c r="G23" s="29">
        <f t="shared" si="14"/>
        <v>96</v>
      </c>
      <c r="H23" s="30">
        <v>0</v>
      </c>
      <c r="I23" s="32">
        <v>8</v>
      </c>
      <c r="J23" s="32">
        <v>8</v>
      </c>
      <c r="K23" s="32">
        <v>8</v>
      </c>
      <c r="L23" s="32">
        <v>8</v>
      </c>
      <c r="M23" s="33"/>
      <c r="N23" s="33"/>
      <c r="O23" s="32">
        <v>8</v>
      </c>
      <c r="P23" s="32">
        <v>8</v>
      </c>
      <c r="Q23" s="32">
        <v>8</v>
      </c>
      <c r="R23" s="48">
        <v>8</v>
      </c>
      <c r="S23" s="32">
        <v>8</v>
      </c>
      <c r="T23" s="33"/>
      <c r="U23" s="33"/>
      <c r="V23" s="46">
        <v>8</v>
      </c>
      <c r="W23" s="32">
        <v>8</v>
      </c>
      <c r="X23" s="96">
        <v>8</v>
      </c>
      <c r="Y23" s="29">
        <f t="shared" si="15"/>
        <v>0</v>
      </c>
      <c r="Z23" s="34">
        <v>12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96</v>
      </c>
      <c r="E24" s="29">
        <f t="shared" si="12"/>
        <v>96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2">
        <v>8</v>
      </c>
      <c r="K24" s="32">
        <v>8</v>
      </c>
      <c r="L24" s="32">
        <v>8</v>
      </c>
      <c r="M24" s="33"/>
      <c r="N24" s="33"/>
      <c r="O24" s="38"/>
      <c r="P24" s="32">
        <v>8</v>
      </c>
      <c r="Q24" s="32">
        <v>8</v>
      </c>
      <c r="R24" s="32">
        <v>8</v>
      </c>
      <c r="S24" s="32">
        <v>8</v>
      </c>
      <c r="T24" s="33"/>
      <c r="U24" s="33"/>
      <c r="V24" s="46">
        <v>8</v>
      </c>
      <c r="W24" s="32">
        <v>8</v>
      </c>
      <c r="X24" s="96">
        <v>8</v>
      </c>
      <c r="Y24" s="29">
        <f t="shared" si="15"/>
        <v>1</v>
      </c>
      <c r="Z24" s="34">
        <v>12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96</v>
      </c>
      <c r="E25" s="29">
        <f t="shared" si="12"/>
        <v>96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8"/>
      <c r="K25" s="32">
        <v>8</v>
      </c>
      <c r="L25" s="32">
        <v>8</v>
      </c>
      <c r="M25" s="33"/>
      <c r="N25" s="33"/>
      <c r="O25" s="32">
        <v>8</v>
      </c>
      <c r="P25" s="32">
        <v>8</v>
      </c>
      <c r="Q25" s="32">
        <v>8</v>
      </c>
      <c r="R25" s="48">
        <v>8</v>
      </c>
      <c r="S25" s="32">
        <v>8</v>
      </c>
      <c r="T25" s="33"/>
      <c r="U25" s="33"/>
      <c r="V25" s="46">
        <v>8</v>
      </c>
      <c r="W25" s="32">
        <v>8</v>
      </c>
      <c r="X25" s="96">
        <v>8</v>
      </c>
      <c r="Y25" s="29">
        <f t="shared" si="15"/>
        <v>1</v>
      </c>
      <c r="Z25" s="34">
        <v>12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96</v>
      </c>
      <c r="E26" s="29">
        <f t="shared" si="12"/>
        <v>96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2">
        <v>8</v>
      </c>
      <c r="L26" s="32">
        <v>8</v>
      </c>
      <c r="M26" s="33"/>
      <c r="N26" s="33"/>
      <c r="O26" s="32">
        <v>8</v>
      </c>
      <c r="P26" s="32">
        <v>8</v>
      </c>
      <c r="Q26" s="32">
        <v>8</v>
      </c>
      <c r="R26" s="38"/>
      <c r="S26" s="32">
        <v>8</v>
      </c>
      <c r="T26" s="33"/>
      <c r="U26" s="33"/>
      <c r="V26" s="32">
        <v>8</v>
      </c>
      <c r="W26" s="32">
        <v>8</v>
      </c>
      <c r="X26" s="96">
        <v>8</v>
      </c>
      <c r="Y26" s="29">
        <f t="shared" si="15"/>
        <v>1</v>
      </c>
      <c r="Z26" s="34">
        <v>12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576</v>
      </c>
      <c r="E32" s="194">
        <f t="shared" si="16"/>
        <v>576</v>
      </c>
      <c r="F32" s="194">
        <f t="shared" si="16"/>
        <v>552</v>
      </c>
      <c r="G32" s="194">
        <f t="shared" si="16"/>
        <v>552</v>
      </c>
      <c r="H32" s="194">
        <f t="shared" si="16"/>
        <v>0</v>
      </c>
      <c r="I32" s="194">
        <f t="shared" si="16"/>
        <v>48</v>
      </c>
      <c r="J32" s="194">
        <f t="shared" si="16"/>
        <v>40</v>
      </c>
      <c r="K32" s="194">
        <f t="shared" si="16"/>
        <v>48</v>
      </c>
      <c r="L32" s="194">
        <f t="shared" si="16"/>
        <v>48</v>
      </c>
      <c r="M32" s="194">
        <f t="shared" si="16"/>
        <v>0</v>
      </c>
      <c r="N32" s="194">
        <f t="shared" si="16"/>
        <v>0</v>
      </c>
      <c r="O32" s="194">
        <f t="shared" si="16"/>
        <v>40</v>
      </c>
      <c r="P32" s="194">
        <f t="shared" si="16"/>
        <v>48</v>
      </c>
      <c r="Q32" s="194">
        <f t="shared" si="16"/>
        <v>48</v>
      </c>
      <c r="R32" s="194">
        <f t="shared" si="16"/>
        <v>40</v>
      </c>
      <c r="S32" s="194">
        <f t="shared" si="16"/>
        <v>48</v>
      </c>
      <c r="T32" s="194">
        <f t="shared" si="16"/>
        <v>0</v>
      </c>
      <c r="U32" s="194">
        <f t="shared" si="16"/>
        <v>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184</v>
      </c>
      <c r="C36" s="60">
        <f t="shared" ref="C36:C41" si="18">E5+E21</f>
        <v>184</v>
      </c>
      <c r="D36" s="61">
        <f t="shared" ref="D36:D41" si="19">B36</f>
        <v>184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184</v>
      </c>
      <c r="C37" s="60">
        <f t="shared" si="18"/>
        <v>184</v>
      </c>
      <c r="D37" s="61">
        <f t="shared" si="19"/>
        <v>184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176</v>
      </c>
      <c r="C38" s="60">
        <f t="shared" si="18"/>
        <v>184</v>
      </c>
      <c r="D38" s="61">
        <f t="shared" si="19"/>
        <v>176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176</v>
      </c>
      <c r="C39" s="60">
        <f t="shared" si="18"/>
        <v>184</v>
      </c>
      <c r="D39" s="61">
        <f t="shared" si="19"/>
        <v>176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184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168</v>
      </c>
      <c r="C41" s="67">
        <f t="shared" si="18"/>
        <v>184</v>
      </c>
      <c r="D41" s="68">
        <f t="shared" si="19"/>
        <v>168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7" t="s">
        <v>0</v>
      </c>
      <c r="B49" s="268"/>
      <c r="C49" s="269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11</v>
      </c>
      <c r="C53" s="81">
        <f t="shared" si="26"/>
        <v>88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7" t="s">
        <v>22</v>
      </c>
      <c r="B56" s="268"/>
      <c r="C56" s="269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12</v>
      </c>
      <c r="C58" s="79">
        <f t="shared" ref="C58:C59" si="27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12</v>
      </c>
      <c r="C60" s="81">
        <f t="shared" si="28"/>
        <v>96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184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  <row r="998" ht="13"/>
    <row r="999" ht="13"/>
    <row r="1000" ht="13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F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baseColWidth="10" defaultColWidth="12.5" defaultRowHeight="15.75" customHeight="1"/>
  <cols>
    <col min="1" max="1" width="23.5" customWidth="1"/>
    <col min="2" max="2" width="11.83203125" customWidth="1"/>
    <col min="3" max="3" width="18.83203125" customWidth="1"/>
    <col min="4" max="4" width="10.5" customWidth="1"/>
    <col min="5" max="5" width="8.5" customWidth="1"/>
    <col min="6" max="6" width="7.5" customWidth="1"/>
    <col min="7" max="7" width="9.5" customWidth="1"/>
    <col min="8" max="8" width="9" customWidth="1"/>
    <col min="9" max="9" width="6.33203125" customWidth="1"/>
    <col min="10" max="11" width="6.5" customWidth="1"/>
    <col min="12" max="12" width="5.83203125" customWidth="1"/>
    <col min="13" max="14" width="6.5" customWidth="1"/>
    <col min="15" max="15" width="6.1640625" customWidth="1"/>
    <col min="16" max="16" width="6.33203125" customWidth="1"/>
    <col min="17" max="20" width="6.5" customWidth="1"/>
    <col min="21" max="21" width="6.6640625" customWidth="1"/>
    <col min="22" max="22" width="6.33203125" customWidth="1"/>
    <col min="23" max="23" width="6.5" customWidth="1"/>
    <col min="24" max="24" width="9.33203125" customWidth="1"/>
    <col min="25" max="25" width="9.5" customWidth="1"/>
    <col min="26" max="26" width="9.33203125" customWidth="1"/>
    <col min="27" max="27" width="8.6640625" customWidth="1"/>
    <col min="28" max="28" width="15.33203125" customWidth="1"/>
    <col min="29" max="29" width="14" customWidth="1"/>
    <col min="30" max="30" width="7.5" customWidth="1"/>
    <col min="31" max="31" width="17.6640625" customWidth="1"/>
    <col min="32" max="35" width="7.5" customWidth="1"/>
  </cols>
  <sheetData>
    <row r="1" spans="1:35" ht="15.75" customHeight="1">
      <c r="A1" s="1"/>
      <c r="B1" s="2"/>
      <c r="C1" s="3">
        <v>45505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5" t="s">
        <v>1</v>
      </c>
      <c r="B3" s="265" t="s">
        <v>2</v>
      </c>
      <c r="C3" s="265" t="s">
        <v>3</v>
      </c>
      <c r="D3" s="265" t="s">
        <v>4</v>
      </c>
      <c r="E3" s="270" t="s">
        <v>5</v>
      </c>
      <c r="F3" s="271"/>
      <c r="G3" s="271"/>
      <c r="H3" s="272"/>
      <c r="I3" s="14">
        <f>C1</f>
        <v>45505</v>
      </c>
      <c r="J3" s="14">
        <f t="shared" ref="J3:W3" si="0">I3+1</f>
        <v>45506</v>
      </c>
      <c r="K3" s="14">
        <f t="shared" si="0"/>
        <v>45507</v>
      </c>
      <c r="L3" s="14">
        <f t="shared" si="0"/>
        <v>45508</v>
      </c>
      <c r="M3" s="14">
        <f t="shared" si="0"/>
        <v>45509</v>
      </c>
      <c r="N3" s="14">
        <f t="shared" si="0"/>
        <v>45510</v>
      </c>
      <c r="O3" s="14">
        <f t="shared" si="0"/>
        <v>45511</v>
      </c>
      <c r="P3" s="14">
        <f t="shared" si="0"/>
        <v>45512</v>
      </c>
      <c r="Q3" s="14">
        <f t="shared" si="0"/>
        <v>45513</v>
      </c>
      <c r="R3" s="14">
        <f t="shared" si="0"/>
        <v>45514</v>
      </c>
      <c r="S3" s="14">
        <f t="shared" si="0"/>
        <v>45515</v>
      </c>
      <c r="T3" s="14">
        <f t="shared" si="0"/>
        <v>45516</v>
      </c>
      <c r="U3" s="14">
        <f t="shared" si="0"/>
        <v>45517</v>
      </c>
      <c r="V3" s="14">
        <f t="shared" si="0"/>
        <v>45518</v>
      </c>
      <c r="W3" s="14">
        <f t="shared" si="0"/>
        <v>45519</v>
      </c>
      <c r="X3" s="265" t="s">
        <v>6</v>
      </c>
      <c r="Y3" s="265" t="s">
        <v>7</v>
      </c>
      <c r="Z3" s="13"/>
      <c r="AA3" s="15"/>
      <c r="AB3" s="15"/>
    </row>
    <row r="4" spans="1:35" ht="26.25" customHeight="1">
      <c r="A4" s="266"/>
      <c r="B4" s="266"/>
      <c r="C4" s="266"/>
      <c r="D4" s="266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Thu</v>
      </c>
      <c r="J4" s="21" t="str">
        <f t="shared" si="1"/>
        <v>Fri</v>
      </c>
      <c r="K4" s="21" t="str">
        <f t="shared" si="1"/>
        <v>Sat</v>
      </c>
      <c r="L4" s="22" t="str">
        <f t="shared" si="1"/>
        <v>Sun</v>
      </c>
      <c r="M4" s="22" t="str">
        <f t="shared" si="1"/>
        <v>Mon</v>
      </c>
      <c r="N4" s="20" t="str">
        <f t="shared" si="1"/>
        <v>Tue</v>
      </c>
      <c r="O4" s="20" t="str">
        <f t="shared" si="1"/>
        <v>Wed</v>
      </c>
      <c r="P4" s="22" t="str">
        <f t="shared" si="1"/>
        <v>Thu</v>
      </c>
      <c r="Q4" s="22" t="str">
        <f t="shared" si="1"/>
        <v>Fri</v>
      </c>
      <c r="R4" s="22" t="str">
        <f t="shared" si="1"/>
        <v>Sat</v>
      </c>
      <c r="S4" s="22" t="str">
        <f t="shared" si="1"/>
        <v>Sun</v>
      </c>
      <c r="T4" s="22" t="str">
        <f t="shared" si="1"/>
        <v>Mon</v>
      </c>
      <c r="U4" s="22" t="str">
        <f t="shared" si="1"/>
        <v>Tue</v>
      </c>
      <c r="V4" s="22" t="str">
        <f t="shared" si="1"/>
        <v>Wed</v>
      </c>
      <c r="W4" s="22" t="str">
        <f t="shared" si="1"/>
        <v>Thu</v>
      </c>
      <c r="X4" s="266"/>
      <c r="Y4" s="266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72</v>
      </c>
      <c r="G5" s="29">
        <f t="shared" ref="G5:G10" si="5">SUM(I5:W5)</f>
        <v>72</v>
      </c>
      <c r="H5" s="30">
        <v>0</v>
      </c>
      <c r="I5" s="32">
        <v>8</v>
      </c>
      <c r="J5" s="32">
        <v>8</v>
      </c>
      <c r="K5" s="33"/>
      <c r="L5" s="33"/>
      <c r="M5" s="32">
        <v>8</v>
      </c>
      <c r="N5" s="32">
        <v>8</v>
      </c>
      <c r="O5" s="32">
        <v>8</v>
      </c>
      <c r="P5" s="32">
        <v>8</v>
      </c>
      <c r="Q5" s="32">
        <v>8</v>
      </c>
      <c r="R5" s="33"/>
      <c r="S5" s="33"/>
      <c r="T5" s="32">
        <v>8</v>
      </c>
      <c r="U5" s="38"/>
      <c r="V5" s="32">
        <v>8</v>
      </c>
      <c r="W5" s="31"/>
      <c r="X5" s="29">
        <f t="shared" ref="X5:X15" si="6">Y5-COUNTA(I5:W5)</f>
        <v>1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2">
        <v>8</v>
      </c>
      <c r="J6" s="32">
        <v>8</v>
      </c>
      <c r="K6" s="33"/>
      <c r="L6" s="33"/>
      <c r="M6" s="32">
        <v>8</v>
      </c>
      <c r="N6" s="32">
        <v>8</v>
      </c>
      <c r="O6" s="32">
        <v>8</v>
      </c>
      <c r="P6" s="32">
        <v>8</v>
      </c>
      <c r="Q6" s="32">
        <v>8</v>
      </c>
      <c r="R6" s="33"/>
      <c r="S6" s="33"/>
      <c r="T6" s="32">
        <v>8</v>
      </c>
      <c r="U6" s="32">
        <v>8</v>
      </c>
      <c r="V6" s="32">
        <v>8</v>
      </c>
      <c r="W6" s="31"/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64</v>
      </c>
      <c r="G7" s="29">
        <f t="shared" si="5"/>
        <v>64</v>
      </c>
      <c r="H7" s="30">
        <v>0</v>
      </c>
      <c r="I7" s="32">
        <v>8</v>
      </c>
      <c r="J7" s="32">
        <v>8</v>
      </c>
      <c r="K7" s="33"/>
      <c r="L7" s="33"/>
      <c r="M7" s="38"/>
      <c r="N7" s="38"/>
      <c r="O7" s="32">
        <v>8</v>
      </c>
      <c r="P7" s="32">
        <v>8</v>
      </c>
      <c r="Q7" s="32">
        <v>8</v>
      </c>
      <c r="R7" s="33"/>
      <c r="S7" s="33"/>
      <c r="T7" s="32">
        <v>8</v>
      </c>
      <c r="U7" s="32">
        <v>8</v>
      </c>
      <c r="V7" s="32">
        <v>8</v>
      </c>
      <c r="W7" s="31"/>
      <c r="X7" s="29">
        <f t="shared" si="6"/>
        <v>2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2">
        <v>8</v>
      </c>
      <c r="J8" s="32">
        <v>8</v>
      </c>
      <c r="K8" s="33"/>
      <c r="L8" s="33"/>
      <c r="M8" s="32">
        <v>8</v>
      </c>
      <c r="N8" s="32">
        <v>8</v>
      </c>
      <c r="O8" s="32">
        <v>8</v>
      </c>
      <c r="P8" s="32">
        <v>8</v>
      </c>
      <c r="Q8" s="32">
        <v>8</v>
      </c>
      <c r="R8" s="33"/>
      <c r="S8" s="33"/>
      <c r="T8" s="32">
        <v>8</v>
      </c>
      <c r="U8" s="32">
        <v>8</v>
      </c>
      <c r="V8" s="32">
        <v>8</v>
      </c>
      <c r="W8" s="31"/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2">
        <v>8</v>
      </c>
      <c r="J9" s="32">
        <v>8</v>
      </c>
      <c r="K9" s="33"/>
      <c r="L9" s="33"/>
      <c r="M9" s="32">
        <v>8</v>
      </c>
      <c r="N9" s="32">
        <v>8</v>
      </c>
      <c r="O9" s="32">
        <v>8</v>
      </c>
      <c r="P9" s="32">
        <v>8</v>
      </c>
      <c r="Q9" s="32">
        <v>8</v>
      </c>
      <c r="R9" s="33"/>
      <c r="S9" s="33"/>
      <c r="T9" s="32">
        <v>8</v>
      </c>
      <c r="U9" s="32">
        <v>8</v>
      </c>
      <c r="V9" s="48">
        <v>8</v>
      </c>
      <c r="W9" s="92"/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80</v>
      </c>
      <c r="G10" s="29">
        <f t="shared" si="5"/>
        <v>80</v>
      </c>
      <c r="H10" s="30">
        <v>0</v>
      </c>
      <c r="I10" s="32">
        <v>8</v>
      </c>
      <c r="J10" s="32">
        <v>8</v>
      </c>
      <c r="K10" s="33"/>
      <c r="L10" s="33"/>
      <c r="M10" s="32">
        <v>8</v>
      </c>
      <c r="N10" s="32">
        <v>8</v>
      </c>
      <c r="O10" s="32">
        <v>8</v>
      </c>
      <c r="P10" s="32">
        <v>8</v>
      </c>
      <c r="Q10" s="32">
        <v>8</v>
      </c>
      <c r="R10" s="33"/>
      <c r="S10" s="33"/>
      <c r="T10" s="32">
        <v>8</v>
      </c>
      <c r="U10" s="32">
        <v>8</v>
      </c>
      <c r="V10" s="32">
        <v>8</v>
      </c>
      <c r="W10" s="31"/>
      <c r="X10" s="29">
        <f t="shared" si="6"/>
        <v>0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456</v>
      </c>
      <c r="G16" s="194">
        <f t="shared" si="8"/>
        <v>456</v>
      </c>
      <c r="H16" s="194">
        <f t="shared" si="8"/>
        <v>0</v>
      </c>
      <c r="I16" s="194">
        <f t="shared" si="8"/>
        <v>48</v>
      </c>
      <c r="J16" s="194">
        <f t="shared" si="8"/>
        <v>48</v>
      </c>
      <c r="K16" s="194">
        <f t="shared" si="8"/>
        <v>0</v>
      </c>
      <c r="L16" s="194">
        <f t="shared" si="8"/>
        <v>0</v>
      </c>
      <c r="M16" s="194">
        <f t="shared" si="8"/>
        <v>40</v>
      </c>
      <c r="N16" s="194">
        <f t="shared" si="8"/>
        <v>40</v>
      </c>
      <c r="O16" s="194">
        <f t="shared" si="8"/>
        <v>48</v>
      </c>
      <c r="P16" s="194">
        <f t="shared" si="8"/>
        <v>48</v>
      </c>
      <c r="Q16" s="194">
        <f t="shared" si="8"/>
        <v>48</v>
      </c>
      <c r="R16" s="194">
        <f t="shared" si="8"/>
        <v>0</v>
      </c>
      <c r="S16" s="194">
        <f t="shared" si="8"/>
        <v>0</v>
      </c>
      <c r="T16" s="194">
        <f t="shared" si="8"/>
        <v>48</v>
      </c>
      <c r="U16" s="194">
        <f t="shared" si="8"/>
        <v>40</v>
      </c>
      <c r="V16" s="194">
        <f t="shared" si="8"/>
        <v>48</v>
      </c>
      <c r="W16" s="194">
        <f t="shared" si="8"/>
        <v>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5" t="s">
        <v>1</v>
      </c>
      <c r="B19" s="265" t="s">
        <v>2</v>
      </c>
      <c r="C19" s="265" t="s">
        <v>3</v>
      </c>
      <c r="D19" s="265" t="s">
        <v>4</v>
      </c>
      <c r="E19" s="270" t="s">
        <v>5</v>
      </c>
      <c r="F19" s="271"/>
      <c r="G19" s="271"/>
      <c r="H19" s="272"/>
      <c r="I19" s="44">
        <f>W3+1</f>
        <v>45520</v>
      </c>
      <c r="J19" s="44">
        <f t="shared" ref="J19:X19" si="9">I19+1</f>
        <v>45521</v>
      </c>
      <c r="K19" s="44">
        <f t="shared" si="9"/>
        <v>45522</v>
      </c>
      <c r="L19" s="14">
        <f t="shared" si="9"/>
        <v>45523</v>
      </c>
      <c r="M19" s="44">
        <f t="shared" si="9"/>
        <v>45524</v>
      </c>
      <c r="N19" s="44">
        <f t="shared" si="9"/>
        <v>45525</v>
      </c>
      <c r="O19" s="44">
        <f t="shared" si="9"/>
        <v>45526</v>
      </c>
      <c r="P19" s="44">
        <f t="shared" si="9"/>
        <v>45527</v>
      </c>
      <c r="Q19" s="44">
        <f t="shared" si="9"/>
        <v>45528</v>
      </c>
      <c r="R19" s="44">
        <f t="shared" si="9"/>
        <v>45529</v>
      </c>
      <c r="S19" s="44">
        <f t="shared" si="9"/>
        <v>45530</v>
      </c>
      <c r="T19" s="44">
        <f t="shared" si="9"/>
        <v>45531</v>
      </c>
      <c r="U19" s="44">
        <f t="shared" si="9"/>
        <v>45532</v>
      </c>
      <c r="V19" s="44">
        <f t="shared" si="9"/>
        <v>45533</v>
      </c>
      <c r="W19" s="44">
        <f t="shared" si="9"/>
        <v>45534</v>
      </c>
      <c r="X19" s="44">
        <f t="shared" si="9"/>
        <v>45535</v>
      </c>
      <c r="Y19" s="265" t="s">
        <v>6</v>
      </c>
      <c r="Z19" s="265" t="s">
        <v>7</v>
      </c>
      <c r="AA19" s="13"/>
      <c r="AB19" s="15"/>
    </row>
    <row r="20" spans="1:35" ht="26.25" customHeight="1">
      <c r="A20" s="266"/>
      <c r="B20" s="266"/>
      <c r="C20" s="266"/>
      <c r="D20" s="266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Fri</v>
      </c>
      <c r="J20" s="22" t="str">
        <f t="shared" si="10"/>
        <v>Sat</v>
      </c>
      <c r="K20" s="22" t="str">
        <f t="shared" si="10"/>
        <v>Sun</v>
      </c>
      <c r="L20" s="22" t="str">
        <f t="shared" si="10"/>
        <v>Mon</v>
      </c>
      <c r="M20" s="22" t="str">
        <f t="shared" si="10"/>
        <v>Tue</v>
      </c>
      <c r="N20" s="22" t="str">
        <f t="shared" si="10"/>
        <v>Wed</v>
      </c>
      <c r="O20" s="22" t="str">
        <f t="shared" si="10"/>
        <v>Thu</v>
      </c>
      <c r="P20" s="21" t="str">
        <f t="shared" si="10"/>
        <v>Fri</v>
      </c>
      <c r="Q20" s="21" t="str">
        <f t="shared" si="10"/>
        <v>Sat</v>
      </c>
      <c r="R20" s="22" t="str">
        <f t="shared" si="10"/>
        <v>Sun</v>
      </c>
      <c r="S20" s="22" t="str">
        <f t="shared" si="10"/>
        <v>Mon</v>
      </c>
      <c r="T20" s="22" t="str">
        <f t="shared" si="10"/>
        <v>Tue</v>
      </c>
      <c r="U20" s="22" t="str">
        <f t="shared" si="10"/>
        <v>Wed</v>
      </c>
      <c r="V20" s="22" t="str">
        <f t="shared" si="10"/>
        <v>Thu</v>
      </c>
      <c r="W20" s="22" t="str">
        <f t="shared" si="10"/>
        <v>Fri</v>
      </c>
      <c r="X20" s="22" t="str">
        <f t="shared" si="10"/>
        <v>Sat</v>
      </c>
      <c r="Y20" s="266"/>
      <c r="Z20" s="266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88</v>
      </c>
      <c r="E21" s="29">
        <f t="shared" ref="E21:E26" si="12">Z21*8</f>
        <v>88</v>
      </c>
      <c r="F21" s="29">
        <f t="shared" ref="F21:F26" si="13">G21+H21</f>
        <v>88</v>
      </c>
      <c r="G21" s="29">
        <f t="shared" ref="G21:G26" si="14">SUM(I21:X21)</f>
        <v>88</v>
      </c>
      <c r="H21" s="30">
        <v>0</v>
      </c>
      <c r="I21" s="32">
        <v>8</v>
      </c>
      <c r="J21" s="33"/>
      <c r="K21" s="33"/>
      <c r="L21" s="32">
        <v>8</v>
      </c>
      <c r="M21" s="32">
        <v>8</v>
      </c>
      <c r="N21" s="32">
        <v>8</v>
      </c>
      <c r="O21" s="32">
        <v>8</v>
      </c>
      <c r="P21" s="32">
        <v>8</v>
      </c>
      <c r="Q21" s="33"/>
      <c r="R21" s="33"/>
      <c r="S21" s="32">
        <v>8</v>
      </c>
      <c r="T21" s="32">
        <v>8</v>
      </c>
      <c r="U21" s="32">
        <v>8</v>
      </c>
      <c r="V21" s="46">
        <v>8</v>
      </c>
      <c r="W21" s="32">
        <v>8</v>
      </c>
      <c r="X21" s="33"/>
      <c r="Y21" s="29">
        <f t="shared" ref="Y21:Y26" si="15">Z21-COUNTA(I21:X21)</f>
        <v>0</v>
      </c>
      <c r="Z21" s="34"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88</v>
      </c>
      <c r="E22" s="29">
        <f t="shared" si="12"/>
        <v>88</v>
      </c>
      <c r="F22" s="29">
        <f t="shared" si="13"/>
        <v>80</v>
      </c>
      <c r="G22" s="29">
        <f t="shared" si="14"/>
        <v>80</v>
      </c>
      <c r="H22" s="30">
        <v>0</v>
      </c>
      <c r="I22" s="38"/>
      <c r="J22" s="33"/>
      <c r="K22" s="33"/>
      <c r="L22" s="32">
        <v>8</v>
      </c>
      <c r="M22" s="32">
        <v>8</v>
      </c>
      <c r="N22" s="32">
        <v>8</v>
      </c>
      <c r="O22" s="32">
        <v>8</v>
      </c>
      <c r="P22" s="32">
        <v>8</v>
      </c>
      <c r="Q22" s="33"/>
      <c r="R22" s="33"/>
      <c r="S22" s="32">
        <v>8</v>
      </c>
      <c r="T22" s="32">
        <v>8</v>
      </c>
      <c r="U22" s="32">
        <v>8</v>
      </c>
      <c r="V22" s="46">
        <v>8</v>
      </c>
      <c r="W22" s="32">
        <v>8</v>
      </c>
      <c r="X22" s="33"/>
      <c r="Y22" s="29">
        <f t="shared" si="15"/>
        <v>1</v>
      </c>
      <c r="Z22" s="34"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88</v>
      </c>
      <c r="E23" s="29">
        <f t="shared" si="12"/>
        <v>88</v>
      </c>
      <c r="F23" s="29">
        <f t="shared" si="13"/>
        <v>88</v>
      </c>
      <c r="G23" s="29">
        <f t="shared" si="14"/>
        <v>88</v>
      </c>
      <c r="H23" s="30">
        <v>0</v>
      </c>
      <c r="I23" s="32">
        <v>8</v>
      </c>
      <c r="J23" s="33"/>
      <c r="K23" s="33"/>
      <c r="L23" s="32">
        <v>8</v>
      </c>
      <c r="M23" s="32">
        <v>8</v>
      </c>
      <c r="N23" s="32">
        <v>8</v>
      </c>
      <c r="O23" s="32">
        <v>8</v>
      </c>
      <c r="P23" s="32">
        <v>8</v>
      </c>
      <c r="Q23" s="33"/>
      <c r="R23" s="47"/>
      <c r="S23" s="32">
        <v>8</v>
      </c>
      <c r="T23" s="32">
        <v>8</v>
      </c>
      <c r="U23" s="32">
        <v>8</v>
      </c>
      <c r="V23" s="46">
        <v>8</v>
      </c>
      <c r="W23" s="32">
        <v>8</v>
      </c>
      <c r="X23" s="33"/>
      <c r="Y23" s="29">
        <f t="shared" si="15"/>
        <v>0</v>
      </c>
      <c r="Z23" s="34"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88</v>
      </c>
      <c r="E24" s="29">
        <f t="shared" si="12"/>
        <v>88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3"/>
      <c r="K24" s="33"/>
      <c r="L24" s="32">
        <v>8</v>
      </c>
      <c r="M24" s="32">
        <v>8</v>
      </c>
      <c r="N24" s="32">
        <v>8</v>
      </c>
      <c r="O24" s="32">
        <v>8</v>
      </c>
      <c r="P24" s="32">
        <v>8</v>
      </c>
      <c r="Q24" s="33"/>
      <c r="R24" s="33"/>
      <c r="S24" s="32">
        <v>8</v>
      </c>
      <c r="T24" s="32">
        <v>8</v>
      </c>
      <c r="U24" s="32">
        <v>8</v>
      </c>
      <c r="V24" s="46">
        <v>8</v>
      </c>
      <c r="W24" s="32">
        <v>8</v>
      </c>
      <c r="X24" s="33"/>
      <c r="Y24" s="29">
        <f t="shared" si="15"/>
        <v>0</v>
      </c>
      <c r="Z24" s="34"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88</v>
      </c>
      <c r="E25" s="29">
        <f t="shared" si="12"/>
        <v>88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3"/>
      <c r="K25" s="33"/>
      <c r="L25" s="32">
        <v>8</v>
      </c>
      <c r="M25" s="32">
        <v>8</v>
      </c>
      <c r="N25" s="32">
        <v>8</v>
      </c>
      <c r="O25" s="32">
        <v>8</v>
      </c>
      <c r="P25" s="32">
        <v>8</v>
      </c>
      <c r="Q25" s="33"/>
      <c r="R25" s="47"/>
      <c r="S25" s="32">
        <v>8</v>
      </c>
      <c r="T25" s="32">
        <v>8</v>
      </c>
      <c r="U25" s="32">
        <v>8</v>
      </c>
      <c r="V25" s="46">
        <v>8</v>
      </c>
      <c r="W25" s="32">
        <v>8</v>
      </c>
      <c r="X25" s="33"/>
      <c r="Y25" s="29">
        <f t="shared" si="15"/>
        <v>0</v>
      </c>
      <c r="Z25" s="34"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88</v>
      </c>
      <c r="E26" s="29">
        <f t="shared" si="12"/>
        <v>88</v>
      </c>
      <c r="F26" s="29">
        <f t="shared" si="13"/>
        <v>80</v>
      </c>
      <c r="G26" s="29">
        <f t="shared" si="14"/>
        <v>80</v>
      </c>
      <c r="H26" s="30">
        <v>0</v>
      </c>
      <c r="I26" s="38"/>
      <c r="J26" s="33"/>
      <c r="K26" s="33"/>
      <c r="L26" s="32">
        <v>8</v>
      </c>
      <c r="M26" s="32">
        <v>8</v>
      </c>
      <c r="N26" s="32">
        <v>8</v>
      </c>
      <c r="O26" s="32">
        <v>8</v>
      </c>
      <c r="P26" s="32">
        <v>8</v>
      </c>
      <c r="Q26" s="33"/>
      <c r="R26" s="33"/>
      <c r="S26" s="32">
        <v>8</v>
      </c>
      <c r="T26" s="32">
        <v>8</v>
      </c>
      <c r="U26" s="32">
        <v>8</v>
      </c>
      <c r="V26" s="32">
        <v>8</v>
      </c>
      <c r="W26" s="32">
        <v>8</v>
      </c>
      <c r="X26" s="33"/>
      <c r="Y26" s="29">
        <f t="shared" si="15"/>
        <v>1</v>
      </c>
      <c r="Z26" s="34">
        <v>11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528</v>
      </c>
      <c r="E32" s="194">
        <f t="shared" si="16"/>
        <v>528</v>
      </c>
      <c r="F32" s="194">
        <f t="shared" si="16"/>
        <v>512</v>
      </c>
      <c r="G32" s="194">
        <f t="shared" si="16"/>
        <v>512</v>
      </c>
      <c r="H32" s="194">
        <f t="shared" si="16"/>
        <v>0</v>
      </c>
      <c r="I32" s="194">
        <f t="shared" si="16"/>
        <v>32</v>
      </c>
      <c r="J32" s="194">
        <f t="shared" si="16"/>
        <v>0</v>
      </c>
      <c r="K32" s="194">
        <f t="shared" si="16"/>
        <v>0</v>
      </c>
      <c r="L32" s="194">
        <f t="shared" si="16"/>
        <v>48</v>
      </c>
      <c r="M32" s="194">
        <f t="shared" si="16"/>
        <v>48</v>
      </c>
      <c r="N32" s="194">
        <f t="shared" si="16"/>
        <v>48</v>
      </c>
      <c r="O32" s="194">
        <f t="shared" si="16"/>
        <v>48</v>
      </c>
      <c r="P32" s="194">
        <f t="shared" si="16"/>
        <v>48</v>
      </c>
      <c r="Q32" s="194">
        <f t="shared" si="16"/>
        <v>0</v>
      </c>
      <c r="R32" s="194">
        <f t="shared" si="16"/>
        <v>0</v>
      </c>
      <c r="S32" s="194">
        <f t="shared" si="16"/>
        <v>48</v>
      </c>
      <c r="T32" s="194">
        <f t="shared" si="16"/>
        <v>48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168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160</v>
      </c>
      <c r="C37" s="60">
        <f t="shared" si="18"/>
        <v>168</v>
      </c>
      <c r="D37" s="61">
        <f t="shared" si="19"/>
        <v>160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168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168</v>
      </c>
      <c r="C39" s="60">
        <f t="shared" si="18"/>
        <v>168</v>
      </c>
      <c r="D39" s="61">
        <f t="shared" si="19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168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168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7" t="s">
        <v>0</v>
      </c>
      <c r="B49" s="268"/>
      <c r="C49" s="269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7" t="s">
        <v>22</v>
      </c>
      <c r="B56" s="268"/>
      <c r="C56" s="269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11</v>
      </c>
      <c r="C58" s="79">
        <f t="shared" ref="C58:C59" si="27">B58*8</f>
        <v>88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11</v>
      </c>
      <c r="C60" s="81">
        <f t="shared" si="28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  <row r="998" ht="13"/>
    <row r="999" ht="13"/>
    <row r="1000" ht="13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76A5A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baseColWidth="10" defaultColWidth="12.5" defaultRowHeight="15.75" customHeight="1"/>
  <cols>
    <col min="1" max="1" width="23.5" customWidth="1"/>
    <col min="2" max="2" width="11.83203125" customWidth="1"/>
    <col min="3" max="3" width="18.83203125" customWidth="1"/>
    <col min="4" max="4" width="10.5" customWidth="1"/>
    <col min="5" max="5" width="8.5" customWidth="1"/>
    <col min="6" max="6" width="7.5" customWidth="1"/>
    <col min="7" max="7" width="9.5" customWidth="1"/>
    <col min="8" max="8" width="9" customWidth="1"/>
    <col min="9" max="9" width="6.33203125" customWidth="1"/>
    <col min="10" max="11" width="6.5" customWidth="1"/>
    <col min="12" max="12" width="5.83203125" customWidth="1"/>
    <col min="13" max="14" width="6.5" customWidth="1"/>
    <col min="15" max="15" width="6.1640625" customWidth="1"/>
    <col min="16" max="16" width="6.33203125" customWidth="1"/>
    <col min="17" max="20" width="6.5" customWidth="1"/>
    <col min="21" max="21" width="6.6640625" customWidth="1"/>
    <col min="22" max="22" width="6.33203125" customWidth="1"/>
    <col min="23" max="23" width="6.5" customWidth="1"/>
    <col min="24" max="24" width="9.33203125" customWidth="1"/>
    <col min="25" max="25" width="9.5" customWidth="1"/>
    <col min="26" max="26" width="9.33203125" customWidth="1"/>
    <col min="27" max="27" width="8.6640625" customWidth="1"/>
    <col min="28" max="28" width="15.33203125" customWidth="1"/>
    <col min="29" max="29" width="14" customWidth="1"/>
    <col min="30" max="30" width="7.5" customWidth="1"/>
    <col min="31" max="31" width="17.6640625" customWidth="1"/>
    <col min="32" max="35" width="7.5" customWidth="1"/>
  </cols>
  <sheetData>
    <row r="1" spans="1:35" ht="15.75" customHeight="1">
      <c r="A1" s="1"/>
      <c r="B1" s="2"/>
      <c r="C1" s="3">
        <v>45536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5" t="s">
        <v>1</v>
      </c>
      <c r="B3" s="265" t="s">
        <v>2</v>
      </c>
      <c r="C3" s="265" t="s">
        <v>3</v>
      </c>
      <c r="D3" s="265" t="s">
        <v>4</v>
      </c>
      <c r="E3" s="270" t="s">
        <v>5</v>
      </c>
      <c r="F3" s="271"/>
      <c r="G3" s="271"/>
      <c r="H3" s="272"/>
      <c r="I3" s="14">
        <f>C1</f>
        <v>45536</v>
      </c>
      <c r="J3" s="14">
        <f t="shared" ref="J3:W3" si="0">I3+1</f>
        <v>45537</v>
      </c>
      <c r="K3" s="14">
        <f t="shared" si="0"/>
        <v>45538</v>
      </c>
      <c r="L3" s="14">
        <f t="shared" si="0"/>
        <v>45539</v>
      </c>
      <c r="M3" s="14">
        <f t="shared" si="0"/>
        <v>45540</v>
      </c>
      <c r="N3" s="14">
        <f t="shared" si="0"/>
        <v>45541</v>
      </c>
      <c r="O3" s="14">
        <f t="shared" si="0"/>
        <v>45542</v>
      </c>
      <c r="P3" s="14">
        <f t="shared" si="0"/>
        <v>45543</v>
      </c>
      <c r="Q3" s="14">
        <f t="shared" si="0"/>
        <v>45544</v>
      </c>
      <c r="R3" s="14">
        <f t="shared" si="0"/>
        <v>45545</v>
      </c>
      <c r="S3" s="14">
        <f t="shared" si="0"/>
        <v>45546</v>
      </c>
      <c r="T3" s="14">
        <f t="shared" si="0"/>
        <v>45547</v>
      </c>
      <c r="U3" s="14">
        <f t="shared" si="0"/>
        <v>45548</v>
      </c>
      <c r="V3" s="14">
        <f t="shared" si="0"/>
        <v>45549</v>
      </c>
      <c r="W3" s="14">
        <f t="shared" si="0"/>
        <v>45550</v>
      </c>
      <c r="X3" s="265" t="s">
        <v>6</v>
      </c>
      <c r="Y3" s="265" t="s">
        <v>7</v>
      </c>
      <c r="Z3" s="13"/>
      <c r="AA3" s="15"/>
      <c r="AB3" s="15"/>
    </row>
    <row r="4" spans="1:35" ht="26.25" customHeight="1">
      <c r="A4" s="266"/>
      <c r="B4" s="266"/>
      <c r="C4" s="266"/>
      <c r="D4" s="266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Sun</v>
      </c>
      <c r="J4" s="21" t="str">
        <f t="shared" si="1"/>
        <v>Mon</v>
      </c>
      <c r="K4" s="21" t="str">
        <f t="shared" si="1"/>
        <v>Tue</v>
      </c>
      <c r="L4" s="22" t="str">
        <f t="shared" si="1"/>
        <v>Wed</v>
      </c>
      <c r="M4" s="22" t="str">
        <f t="shared" si="1"/>
        <v>Thu</v>
      </c>
      <c r="N4" s="20" t="str">
        <f t="shared" si="1"/>
        <v>Fri</v>
      </c>
      <c r="O4" s="20" t="str">
        <f t="shared" si="1"/>
        <v>Sat</v>
      </c>
      <c r="P4" s="22" t="str">
        <f t="shared" si="1"/>
        <v>Sun</v>
      </c>
      <c r="Q4" s="22" t="str">
        <f t="shared" si="1"/>
        <v>Mon</v>
      </c>
      <c r="R4" s="22" t="str">
        <f t="shared" si="1"/>
        <v>Tue</v>
      </c>
      <c r="S4" s="22" t="str">
        <f t="shared" si="1"/>
        <v>Wed</v>
      </c>
      <c r="T4" s="22" t="str">
        <f t="shared" si="1"/>
        <v>Thu</v>
      </c>
      <c r="U4" s="22" t="str">
        <f t="shared" si="1"/>
        <v>Fri</v>
      </c>
      <c r="V4" s="22" t="str">
        <f t="shared" si="1"/>
        <v>Sat</v>
      </c>
      <c r="W4" s="22" t="str">
        <f t="shared" si="1"/>
        <v>Sun</v>
      </c>
      <c r="X4" s="266"/>
      <c r="Y4" s="266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3"/>
      <c r="J5" s="32">
        <v>8</v>
      </c>
      <c r="K5" s="32">
        <v>8</v>
      </c>
      <c r="L5" s="32">
        <v>8</v>
      </c>
      <c r="M5" s="32">
        <v>8</v>
      </c>
      <c r="N5" s="32">
        <v>8</v>
      </c>
      <c r="O5" s="33"/>
      <c r="P5" s="33"/>
      <c r="Q5" s="32">
        <v>8</v>
      </c>
      <c r="R5" s="32">
        <v>8</v>
      </c>
      <c r="S5" s="32">
        <v>8</v>
      </c>
      <c r="T5" s="32">
        <v>8</v>
      </c>
      <c r="U5" s="32">
        <v>8</v>
      </c>
      <c r="V5" s="33"/>
      <c r="W5" s="33"/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3"/>
      <c r="J6" s="32">
        <v>8</v>
      </c>
      <c r="K6" s="32">
        <v>8</v>
      </c>
      <c r="L6" s="32">
        <v>8</v>
      </c>
      <c r="M6" s="32">
        <v>8</v>
      </c>
      <c r="N6" s="32">
        <v>8</v>
      </c>
      <c r="O6" s="33"/>
      <c r="P6" s="33"/>
      <c r="Q6" s="32">
        <v>8</v>
      </c>
      <c r="R6" s="32">
        <v>8</v>
      </c>
      <c r="S6" s="32">
        <v>8</v>
      </c>
      <c r="T6" s="32">
        <v>8</v>
      </c>
      <c r="U6" s="32">
        <v>8</v>
      </c>
      <c r="V6" s="33"/>
      <c r="W6" s="33"/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3"/>
      <c r="J7" s="32">
        <v>8</v>
      </c>
      <c r="K7" s="32">
        <v>8</v>
      </c>
      <c r="L7" s="32">
        <v>8</v>
      </c>
      <c r="M7" s="32">
        <v>8</v>
      </c>
      <c r="N7" s="32">
        <v>8</v>
      </c>
      <c r="O7" s="33"/>
      <c r="P7" s="33"/>
      <c r="Q7" s="32">
        <v>8</v>
      </c>
      <c r="R7" s="32">
        <v>8</v>
      </c>
      <c r="S7" s="32">
        <v>8</v>
      </c>
      <c r="T7" s="32">
        <v>8</v>
      </c>
      <c r="U7" s="32">
        <v>8</v>
      </c>
      <c r="V7" s="33"/>
      <c r="W7" s="33"/>
      <c r="X7" s="29">
        <f t="shared" si="6"/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72</v>
      </c>
      <c r="G8" s="29">
        <f t="shared" si="5"/>
        <v>72</v>
      </c>
      <c r="H8" s="30">
        <v>0</v>
      </c>
      <c r="I8" s="33"/>
      <c r="J8" s="32">
        <v>8</v>
      </c>
      <c r="K8" s="32">
        <v>8</v>
      </c>
      <c r="L8" s="32">
        <v>8</v>
      </c>
      <c r="M8" s="32">
        <v>8</v>
      </c>
      <c r="N8" s="32">
        <v>8</v>
      </c>
      <c r="O8" s="33"/>
      <c r="P8" s="33"/>
      <c r="Q8" s="32">
        <v>8</v>
      </c>
      <c r="R8" s="38"/>
      <c r="S8" s="32">
        <v>8</v>
      </c>
      <c r="T8" s="32">
        <v>8</v>
      </c>
      <c r="U8" s="32">
        <v>8</v>
      </c>
      <c r="V8" s="33"/>
      <c r="W8" s="33"/>
      <c r="X8" s="29">
        <f t="shared" si="6"/>
        <v>1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3"/>
      <c r="J9" s="32">
        <v>8</v>
      </c>
      <c r="K9" s="32">
        <v>8</v>
      </c>
      <c r="L9" s="32">
        <v>8</v>
      </c>
      <c r="M9" s="32">
        <v>8</v>
      </c>
      <c r="N9" s="32">
        <v>8</v>
      </c>
      <c r="O9" s="33"/>
      <c r="P9" s="33"/>
      <c r="Q9" s="32">
        <v>8</v>
      </c>
      <c r="R9" s="32">
        <v>8</v>
      </c>
      <c r="S9" s="32">
        <v>8</v>
      </c>
      <c r="T9" s="32">
        <v>8</v>
      </c>
      <c r="U9" s="32">
        <v>8</v>
      </c>
      <c r="V9" s="47"/>
      <c r="W9" s="47"/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3"/>
      <c r="J10" s="32">
        <v>8</v>
      </c>
      <c r="K10" s="32">
        <v>8</v>
      </c>
      <c r="L10" s="32">
        <v>8</v>
      </c>
      <c r="M10" s="32">
        <v>8</v>
      </c>
      <c r="N10" s="32">
        <v>8</v>
      </c>
      <c r="O10" s="33"/>
      <c r="P10" s="33"/>
      <c r="Q10" s="38"/>
      <c r="R10" s="32">
        <v>8</v>
      </c>
      <c r="S10" s="32">
        <v>8</v>
      </c>
      <c r="T10" s="32">
        <v>8</v>
      </c>
      <c r="U10" s="32">
        <v>8</v>
      </c>
      <c r="V10" s="33"/>
      <c r="W10" s="33"/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464</v>
      </c>
      <c r="G16" s="194">
        <f t="shared" si="8"/>
        <v>464</v>
      </c>
      <c r="H16" s="194">
        <f t="shared" si="8"/>
        <v>0</v>
      </c>
      <c r="I16" s="194">
        <f t="shared" si="8"/>
        <v>0</v>
      </c>
      <c r="J16" s="194">
        <f t="shared" si="8"/>
        <v>48</v>
      </c>
      <c r="K16" s="194">
        <f t="shared" si="8"/>
        <v>48</v>
      </c>
      <c r="L16" s="194">
        <f t="shared" si="8"/>
        <v>48</v>
      </c>
      <c r="M16" s="194">
        <f t="shared" si="8"/>
        <v>48</v>
      </c>
      <c r="N16" s="194">
        <f t="shared" si="8"/>
        <v>48</v>
      </c>
      <c r="O16" s="194">
        <f t="shared" si="8"/>
        <v>0</v>
      </c>
      <c r="P16" s="194">
        <f t="shared" si="8"/>
        <v>0</v>
      </c>
      <c r="Q16" s="194">
        <f t="shared" si="8"/>
        <v>40</v>
      </c>
      <c r="R16" s="194">
        <f t="shared" si="8"/>
        <v>40</v>
      </c>
      <c r="S16" s="194">
        <f t="shared" si="8"/>
        <v>48</v>
      </c>
      <c r="T16" s="194">
        <f t="shared" si="8"/>
        <v>48</v>
      </c>
      <c r="U16" s="194">
        <f t="shared" si="8"/>
        <v>48</v>
      </c>
      <c r="V16" s="194">
        <f t="shared" si="8"/>
        <v>0</v>
      </c>
      <c r="W16" s="194">
        <f t="shared" si="8"/>
        <v>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5" t="s">
        <v>1</v>
      </c>
      <c r="B19" s="265" t="s">
        <v>2</v>
      </c>
      <c r="C19" s="265" t="s">
        <v>3</v>
      </c>
      <c r="D19" s="265" t="s">
        <v>4</v>
      </c>
      <c r="E19" s="270" t="s">
        <v>5</v>
      </c>
      <c r="F19" s="271"/>
      <c r="G19" s="271"/>
      <c r="H19" s="272"/>
      <c r="I19" s="44">
        <f>W3+1</f>
        <v>45551</v>
      </c>
      <c r="J19" s="44">
        <f t="shared" ref="J19:W19" si="9">I19+1</f>
        <v>45552</v>
      </c>
      <c r="K19" s="44">
        <f t="shared" si="9"/>
        <v>45553</v>
      </c>
      <c r="L19" s="14">
        <f t="shared" si="9"/>
        <v>45554</v>
      </c>
      <c r="M19" s="44">
        <f t="shared" si="9"/>
        <v>45555</v>
      </c>
      <c r="N19" s="44">
        <f t="shared" si="9"/>
        <v>45556</v>
      </c>
      <c r="O19" s="44">
        <f t="shared" si="9"/>
        <v>45557</v>
      </c>
      <c r="P19" s="44">
        <f t="shared" si="9"/>
        <v>45558</v>
      </c>
      <c r="Q19" s="44">
        <f t="shared" si="9"/>
        <v>45559</v>
      </c>
      <c r="R19" s="44">
        <f t="shared" si="9"/>
        <v>45560</v>
      </c>
      <c r="S19" s="44">
        <f t="shared" si="9"/>
        <v>45561</v>
      </c>
      <c r="T19" s="44">
        <f t="shared" si="9"/>
        <v>45562</v>
      </c>
      <c r="U19" s="44">
        <f t="shared" si="9"/>
        <v>45563</v>
      </c>
      <c r="V19" s="44">
        <f t="shared" si="9"/>
        <v>45564</v>
      </c>
      <c r="W19" s="44">
        <f t="shared" si="9"/>
        <v>45565</v>
      </c>
      <c r="X19" s="91"/>
      <c r="Y19" s="265" t="s">
        <v>6</v>
      </c>
      <c r="Z19" s="265" t="s">
        <v>7</v>
      </c>
      <c r="AA19" s="13"/>
      <c r="AB19" s="15"/>
    </row>
    <row r="20" spans="1:35" ht="26.25" customHeight="1">
      <c r="A20" s="266"/>
      <c r="B20" s="266"/>
      <c r="C20" s="266"/>
      <c r="D20" s="266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Mon</v>
      </c>
      <c r="J20" s="22" t="str">
        <f t="shared" si="10"/>
        <v>Tue</v>
      </c>
      <c r="K20" s="22" t="str">
        <f t="shared" si="10"/>
        <v>Wed</v>
      </c>
      <c r="L20" s="22" t="str">
        <f t="shared" si="10"/>
        <v>Thu</v>
      </c>
      <c r="M20" s="22" t="str">
        <f t="shared" si="10"/>
        <v>Fri</v>
      </c>
      <c r="N20" s="22" t="str">
        <f t="shared" si="10"/>
        <v>Sat</v>
      </c>
      <c r="O20" s="22" t="str">
        <f t="shared" si="10"/>
        <v>Sun</v>
      </c>
      <c r="P20" s="21" t="str">
        <f t="shared" si="10"/>
        <v>Mon</v>
      </c>
      <c r="Q20" s="21" t="str">
        <f t="shared" si="10"/>
        <v>Tue</v>
      </c>
      <c r="R20" s="22" t="str">
        <f t="shared" si="10"/>
        <v>Wed</v>
      </c>
      <c r="S20" s="22" t="str">
        <f t="shared" si="10"/>
        <v>Thu</v>
      </c>
      <c r="T20" s="22" t="str">
        <f t="shared" si="10"/>
        <v>Fri</v>
      </c>
      <c r="U20" s="22" t="str">
        <f t="shared" si="10"/>
        <v>Sat</v>
      </c>
      <c r="V20" s="22" t="str">
        <f t="shared" si="10"/>
        <v>Sun</v>
      </c>
      <c r="W20" s="22" t="str">
        <f t="shared" si="10"/>
        <v>Mon</v>
      </c>
      <c r="X20" s="46" t="str">
        <f t="shared" si="10"/>
        <v/>
      </c>
      <c r="Y20" s="266"/>
      <c r="Z20" s="266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88</v>
      </c>
      <c r="E21" s="29">
        <f t="shared" ref="E21:E26" si="12">Z21*8</f>
        <v>88</v>
      </c>
      <c r="F21" s="29">
        <f t="shared" ref="F21:F26" si="13">G21+H21</f>
        <v>88</v>
      </c>
      <c r="G21" s="29">
        <f t="shared" ref="G21:G26" si="14">SUM(I21:X21)</f>
        <v>88</v>
      </c>
      <c r="H21" s="30">
        <v>0</v>
      </c>
      <c r="I21" s="32">
        <v>8</v>
      </c>
      <c r="J21" s="32">
        <v>8</v>
      </c>
      <c r="K21" s="32">
        <v>8</v>
      </c>
      <c r="L21" s="32">
        <v>8</v>
      </c>
      <c r="M21" s="32">
        <v>8</v>
      </c>
      <c r="N21" s="33"/>
      <c r="O21" s="33"/>
      <c r="P21" s="32">
        <v>8</v>
      </c>
      <c r="Q21" s="32">
        <v>8</v>
      </c>
      <c r="R21" s="32">
        <v>8</v>
      </c>
      <c r="S21" s="32">
        <v>8</v>
      </c>
      <c r="T21" s="32">
        <v>8</v>
      </c>
      <c r="U21" s="33"/>
      <c r="V21" s="100"/>
      <c r="W21" s="32">
        <v>8</v>
      </c>
      <c r="X21" s="32"/>
      <c r="Y21" s="29">
        <f t="shared" ref="Y21:Y26" si="15">Z21-COUNTA(I21:X21)</f>
        <v>0</v>
      </c>
      <c r="Z21" s="34"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88</v>
      </c>
      <c r="E22" s="29">
        <f t="shared" si="12"/>
        <v>88</v>
      </c>
      <c r="F22" s="29">
        <f t="shared" si="13"/>
        <v>88</v>
      </c>
      <c r="G22" s="29">
        <f t="shared" si="14"/>
        <v>88</v>
      </c>
      <c r="H22" s="30">
        <v>0</v>
      </c>
      <c r="I22" s="32">
        <v>8</v>
      </c>
      <c r="J22" s="32">
        <v>8</v>
      </c>
      <c r="K22" s="32">
        <v>8</v>
      </c>
      <c r="L22" s="32">
        <v>8</v>
      </c>
      <c r="M22" s="32">
        <v>8</v>
      </c>
      <c r="N22" s="33"/>
      <c r="O22" s="33"/>
      <c r="P22" s="32">
        <v>8</v>
      </c>
      <c r="Q22" s="32">
        <v>8</v>
      </c>
      <c r="R22" s="32">
        <v>8</v>
      </c>
      <c r="S22" s="32">
        <v>8</v>
      </c>
      <c r="T22" s="32">
        <v>8</v>
      </c>
      <c r="U22" s="33"/>
      <c r="V22" s="100"/>
      <c r="W22" s="32">
        <v>8</v>
      </c>
      <c r="X22" s="32"/>
      <c r="Y22" s="29">
        <f t="shared" si="15"/>
        <v>0</v>
      </c>
      <c r="Z22" s="34"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88</v>
      </c>
      <c r="E23" s="29">
        <f t="shared" si="12"/>
        <v>88</v>
      </c>
      <c r="F23" s="29">
        <f t="shared" si="13"/>
        <v>88</v>
      </c>
      <c r="G23" s="29">
        <f t="shared" si="14"/>
        <v>88</v>
      </c>
      <c r="H23" s="30">
        <v>0</v>
      </c>
      <c r="I23" s="32">
        <v>8</v>
      </c>
      <c r="J23" s="32">
        <v>8</v>
      </c>
      <c r="K23" s="32">
        <v>8</v>
      </c>
      <c r="L23" s="32">
        <v>8</v>
      </c>
      <c r="M23" s="32">
        <v>8</v>
      </c>
      <c r="N23" s="33"/>
      <c r="O23" s="33"/>
      <c r="P23" s="32">
        <v>8</v>
      </c>
      <c r="Q23" s="32">
        <v>8</v>
      </c>
      <c r="R23" s="48">
        <v>8</v>
      </c>
      <c r="S23" s="32">
        <v>8</v>
      </c>
      <c r="T23" s="32">
        <v>8</v>
      </c>
      <c r="U23" s="33"/>
      <c r="V23" s="100"/>
      <c r="W23" s="96">
        <v>8</v>
      </c>
      <c r="X23" s="32"/>
      <c r="Y23" s="29">
        <f t="shared" si="15"/>
        <v>0</v>
      </c>
      <c r="Z23" s="34"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88</v>
      </c>
      <c r="E24" s="29">
        <f t="shared" si="12"/>
        <v>88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2">
        <v>8</v>
      </c>
      <c r="K24" s="32">
        <v>8</v>
      </c>
      <c r="L24" s="32">
        <v>8</v>
      </c>
      <c r="M24" s="32">
        <v>8</v>
      </c>
      <c r="N24" s="33"/>
      <c r="O24" s="33"/>
      <c r="P24" s="32">
        <v>8</v>
      </c>
      <c r="Q24" s="32">
        <v>8</v>
      </c>
      <c r="R24" s="32">
        <v>8</v>
      </c>
      <c r="S24" s="32">
        <v>8</v>
      </c>
      <c r="T24" s="32">
        <v>8</v>
      </c>
      <c r="U24" s="33"/>
      <c r="V24" s="100"/>
      <c r="W24" s="32">
        <v>8</v>
      </c>
      <c r="X24" s="32"/>
      <c r="Y24" s="29">
        <f t="shared" si="15"/>
        <v>0</v>
      </c>
      <c r="Z24" s="34"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88</v>
      </c>
      <c r="E25" s="29">
        <f t="shared" si="12"/>
        <v>88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2">
        <v>8</v>
      </c>
      <c r="K25" s="32">
        <v>8</v>
      </c>
      <c r="L25" s="32">
        <v>8</v>
      </c>
      <c r="M25" s="32">
        <v>8</v>
      </c>
      <c r="N25" s="33"/>
      <c r="O25" s="33"/>
      <c r="P25" s="32">
        <v>8</v>
      </c>
      <c r="Q25" s="32">
        <v>8</v>
      </c>
      <c r="R25" s="48">
        <v>8</v>
      </c>
      <c r="S25" s="32">
        <v>8</v>
      </c>
      <c r="T25" s="32">
        <v>8</v>
      </c>
      <c r="U25" s="33"/>
      <c r="V25" s="100"/>
      <c r="W25" s="32">
        <v>8</v>
      </c>
      <c r="X25" s="32"/>
      <c r="Y25" s="29">
        <f t="shared" si="15"/>
        <v>0</v>
      </c>
      <c r="Z25" s="34"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88</v>
      </c>
      <c r="E26" s="29">
        <f t="shared" si="12"/>
        <v>88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2">
        <v>8</v>
      </c>
      <c r="L26" s="32">
        <v>8</v>
      </c>
      <c r="M26" s="32">
        <v>8</v>
      </c>
      <c r="N26" s="33"/>
      <c r="O26" s="33"/>
      <c r="P26" s="32">
        <v>8</v>
      </c>
      <c r="Q26" s="32">
        <v>8</v>
      </c>
      <c r="R26" s="32">
        <v>8</v>
      </c>
      <c r="S26" s="32">
        <v>8</v>
      </c>
      <c r="T26" s="32">
        <v>8</v>
      </c>
      <c r="U26" s="33"/>
      <c r="V26" s="33"/>
      <c r="W26" s="32">
        <v>8</v>
      </c>
      <c r="X26" s="32"/>
      <c r="Y26" s="29">
        <f t="shared" si="15"/>
        <v>0</v>
      </c>
      <c r="Z26" s="34">
        <v>11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528</v>
      </c>
      <c r="E32" s="194">
        <f t="shared" si="16"/>
        <v>528</v>
      </c>
      <c r="F32" s="194">
        <f t="shared" si="16"/>
        <v>528</v>
      </c>
      <c r="G32" s="194">
        <f t="shared" si="16"/>
        <v>528</v>
      </c>
      <c r="H32" s="194">
        <f t="shared" si="16"/>
        <v>0</v>
      </c>
      <c r="I32" s="194">
        <f t="shared" si="16"/>
        <v>48</v>
      </c>
      <c r="J32" s="194">
        <f t="shared" si="16"/>
        <v>48</v>
      </c>
      <c r="K32" s="194">
        <f t="shared" si="16"/>
        <v>48</v>
      </c>
      <c r="L32" s="194">
        <f t="shared" si="16"/>
        <v>48</v>
      </c>
      <c r="M32" s="194">
        <f t="shared" si="16"/>
        <v>48</v>
      </c>
      <c r="N32" s="194">
        <f t="shared" si="16"/>
        <v>0</v>
      </c>
      <c r="O32" s="194">
        <f t="shared" si="16"/>
        <v>0</v>
      </c>
      <c r="P32" s="194">
        <f t="shared" si="16"/>
        <v>48</v>
      </c>
      <c r="Q32" s="194">
        <f t="shared" si="16"/>
        <v>48</v>
      </c>
      <c r="R32" s="194">
        <f t="shared" si="16"/>
        <v>48</v>
      </c>
      <c r="S32" s="194">
        <f t="shared" si="16"/>
        <v>48</v>
      </c>
      <c r="T32" s="194">
        <f t="shared" si="16"/>
        <v>48</v>
      </c>
      <c r="U32" s="194">
        <f t="shared" si="16"/>
        <v>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168</v>
      </c>
      <c r="C36" s="60">
        <f t="shared" ref="C36:C41" si="18">E5+E21</f>
        <v>168</v>
      </c>
      <c r="D36" s="61">
        <f t="shared" ref="D36:D41" si="19">B36</f>
        <v>168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168</v>
      </c>
      <c r="C37" s="60">
        <f t="shared" si="18"/>
        <v>168</v>
      </c>
      <c r="D37" s="61">
        <f t="shared" si="19"/>
        <v>168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168</v>
      </c>
      <c r="C38" s="60">
        <f t="shared" si="18"/>
        <v>168</v>
      </c>
      <c r="D38" s="61">
        <f t="shared" si="19"/>
        <v>168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160</v>
      </c>
      <c r="C39" s="60">
        <f t="shared" si="18"/>
        <v>168</v>
      </c>
      <c r="D39" s="61">
        <f t="shared" si="19"/>
        <v>160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168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168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7" t="s">
        <v>0</v>
      </c>
      <c r="B49" s="268"/>
      <c r="C49" s="269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10</v>
      </c>
      <c r="C51" s="76">
        <f>B51*8</f>
        <v>80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7" t="s">
        <v>22</v>
      </c>
      <c r="B56" s="268"/>
      <c r="C56" s="269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11</v>
      </c>
      <c r="C58" s="79">
        <f t="shared" ref="C58:C59" si="27">B58*8</f>
        <v>88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11</v>
      </c>
      <c r="C60" s="81">
        <f t="shared" si="28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  <row r="998" ht="13"/>
    <row r="999" ht="13"/>
    <row r="1000" ht="13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6B26B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baseColWidth="10" defaultColWidth="12.5" defaultRowHeight="15.75" customHeight="1"/>
  <cols>
    <col min="1" max="1" width="23.5" customWidth="1"/>
    <col min="2" max="2" width="11.83203125" customWidth="1"/>
    <col min="3" max="3" width="18.83203125" customWidth="1"/>
    <col min="4" max="4" width="10.5" customWidth="1"/>
    <col min="5" max="5" width="8.5" customWidth="1"/>
    <col min="6" max="6" width="7.5" customWidth="1"/>
    <col min="7" max="7" width="9.5" customWidth="1"/>
    <col min="8" max="8" width="9" customWidth="1"/>
    <col min="9" max="9" width="6.33203125" customWidth="1"/>
    <col min="10" max="11" width="6.5" customWidth="1"/>
    <col min="12" max="12" width="5.83203125" customWidth="1"/>
    <col min="13" max="14" width="6.5" customWidth="1"/>
    <col min="15" max="15" width="6.1640625" customWidth="1"/>
    <col min="16" max="16" width="6.33203125" customWidth="1"/>
    <col min="17" max="20" width="6.5" customWidth="1"/>
    <col min="21" max="21" width="6.6640625" customWidth="1"/>
    <col min="22" max="22" width="6.33203125" customWidth="1"/>
    <col min="23" max="23" width="6.5" customWidth="1"/>
    <col min="24" max="24" width="9.33203125" customWidth="1"/>
    <col min="25" max="25" width="9.5" customWidth="1"/>
    <col min="26" max="26" width="9.33203125" customWidth="1"/>
    <col min="27" max="27" width="8.6640625" customWidth="1"/>
    <col min="28" max="28" width="15.33203125" customWidth="1"/>
    <col min="29" max="29" width="14" customWidth="1"/>
    <col min="30" max="30" width="7.5" customWidth="1"/>
    <col min="31" max="31" width="17.6640625" customWidth="1"/>
    <col min="32" max="35" width="7.5" customWidth="1"/>
  </cols>
  <sheetData>
    <row r="1" spans="1:35" ht="15.75" customHeight="1">
      <c r="A1" s="1"/>
      <c r="B1" s="2"/>
      <c r="C1" s="3">
        <v>45566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5" t="s">
        <v>1</v>
      </c>
      <c r="B3" s="265" t="s">
        <v>2</v>
      </c>
      <c r="C3" s="265" t="s">
        <v>3</v>
      </c>
      <c r="D3" s="265" t="s">
        <v>4</v>
      </c>
      <c r="E3" s="270" t="s">
        <v>5</v>
      </c>
      <c r="F3" s="271"/>
      <c r="G3" s="271"/>
      <c r="H3" s="272"/>
      <c r="I3" s="14">
        <f>C1</f>
        <v>45566</v>
      </c>
      <c r="J3" s="14">
        <f t="shared" ref="J3:W3" si="0">I3+1</f>
        <v>45567</v>
      </c>
      <c r="K3" s="14">
        <f t="shared" si="0"/>
        <v>45568</v>
      </c>
      <c r="L3" s="14">
        <f t="shared" si="0"/>
        <v>45569</v>
      </c>
      <c r="M3" s="14">
        <f t="shared" si="0"/>
        <v>45570</v>
      </c>
      <c r="N3" s="14">
        <f t="shared" si="0"/>
        <v>45571</v>
      </c>
      <c r="O3" s="14">
        <f t="shared" si="0"/>
        <v>45572</v>
      </c>
      <c r="P3" s="14">
        <f t="shared" si="0"/>
        <v>45573</v>
      </c>
      <c r="Q3" s="14">
        <f t="shared" si="0"/>
        <v>45574</v>
      </c>
      <c r="R3" s="14">
        <f t="shared" si="0"/>
        <v>45575</v>
      </c>
      <c r="S3" s="14">
        <f t="shared" si="0"/>
        <v>45576</v>
      </c>
      <c r="T3" s="14">
        <f t="shared" si="0"/>
        <v>45577</v>
      </c>
      <c r="U3" s="14">
        <f t="shared" si="0"/>
        <v>45578</v>
      </c>
      <c r="V3" s="14">
        <f t="shared" si="0"/>
        <v>45579</v>
      </c>
      <c r="W3" s="14">
        <f t="shared" si="0"/>
        <v>45580</v>
      </c>
      <c r="X3" s="265" t="s">
        <v>6</v>
      </c>
      <c r="Y3" s="265" t="s">
        <v>7</v>
      </c>
      <c r="Z3" s="13"/>
      <c r="AA3" s="15"/>
      <c r="AB3" s="15"/>
    </row>
    <row r="4" spans="1:35" ht="26.25" customHeight="1">
      <c r="A4" s="266"/>
      <c r="B4" s="266"/>
      <c r="C4" s="266"/>
      <c r="D4" s="266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Tue</v>
      </c>
      <c r="J4" s="21" t="str">
        <f t="shared" si="1"/>
        <v>Wed</v>
      </c>
      <c r="K4" s="21" t="str">
        <f t="shared" si="1"/>
        <v>Thu</v>
      </c>
      <c r="L4" s="22" t="str">
        <f t="shared" si="1"/>
        <v>Fri</v>
      </c>
      <c r="M4" s="22" t="str">
        <f t="shared" si="1"/>
        <v>Sat</v>
      </c>
      <c r="N4" s="20" t="str">
        <f t="shared" si="1"/>
        <v>Sun</v>
      </c>
      <c r="O4" s="20" t="str">
        <f t="shared" si="1"/>
        <v>Mon</v>
      </c>
      <c r="P4" s="22" t="str">
        <f t="shared" si="1"/>
        <v>Tue</v>
      </c>
      <c r="Q4" s="22" t="str">
        <f t="shared" si="1"/>
        <v>Wed</v>
      </c>
      <c r="R4" s="22" t="str">
        <f t="shared" si="1"/>
        <v>Thu</v>
      </c>
      <c r="S4" s="22" t="str">
        <f t="shared" si="1"/>
        <v>Fri</v>
      </c>
      <c r="T4" s="22" t="str">
        <f t="shared" si="1"/>
        <v>Sat</v>
      </c>
      <c r="U4" s="22" t="str">
        <f t="shared" si="1"/>
        <v>Sun</v>
      </c>
      <c r="V4" s="22" t="str">
        <f t="shared" si="1"/>
        <v>Mon</v>
      </c>
      <c r="W4" s="22" t="str">
        <f t="shared" si="1"/>
        <v>Tue</v>
      </c>
      <c r="X4" s="266"/>
      <c r="Y4" s="266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72</v>
      </c>
      <c r="G5" s="29">
        <f t="shared" ref="G5:G10" si="5">SUM(I5:W5)</f>
        <v>72</v>
      </c>
      <c r="H5" s="30">
        <v>0</v>
      </c>
      <c r="I5" s="32">
        <v>8</v>
      </c>
      <c r="J5" s="31"/>
      <c r="K5" s="38"/>
      <c r="L5" s="32">
        <v>8</v>
      </c>
      <c r="M5" s="33"/>
      <c r="N5" s="33"/>
      <c r="O5" s="32">
        <v>8</v>
      </c>
      <c r="P5" s="32">
        <v>8</v>
      </c>
      <c r="Q5" s="32">
        <v>8</v>
      </c>
      <c r="R5" s="32">
        <v>8</v>
      </c>
      <c r="S5" s="32">
        <v>8</v>
      </c>
      <c r="T5" s="33"/>
      <c r="U5" s="33"/>
      <c r="V5" s="32">
        <v>8</v>
      </c>
      <c r="W5" s="32">
        <v>8</v>
      </c>
      <c r="X5" s="29">
        <f t="shared" ref="X5:X15" si="6">Y5-COUNTA(I5:W5)</f>
        <v>1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64</v>
      </c>
      <c r="G6" s="29">
        <f t="shared" si="5"/>
        <v>64</v>
      </c>
      <c r="H6" s="30">
        <v>0</v>
      </c>
      <c r="I6" s="32">
        <v>8</v>
      </c>
      <c r="J6" s="31"/>
      <c r="K6" s="38"/>
      <c r="L6" s="38"/>
      <c r="M6" s="33"/>
      <c r="N6" s="33"/>
      <c r="O6" s="32">
        <v>8</v>
      </c>
      <c r="P6" s="32">
        <v>8</v>
      </c>
      <c r="Q6" s="32">
        <v>8</v>
      </c>
      <c r="R6" s="32">
        <v>8</v>
      </c>
      <c r="S6" s="32">
        <v>8</v>
      </c>
      <c r="T6" s="33"/>
      <c r="U6" s="33"/>
      <c r="V6" s="32">
        <v>8</v>
      </c>
      <c r="W6" s="32">
        <v>8</v>
      </c>
      <c r="X6" s="29">
        <f t="shared" si="6"/>
        <v>2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2">
        <v>8</v>
      </c>
      <c r="J7" s="31"/>
      <c r="K7" s="32">
        <v>8</v>
      </c>
      <c r="L7" s="32">
        <v>8</v>
      </c>
      <c r="M7" s="33"/>
      <c r="N7" s="33"/>
      <c r="O7" s="32">
        <v>8</v>
      </c>
      <c r="P7" s="32">
        <v>8</v>
      </c>
      <c r="Q7" s="32">
        <v>8</v>
      </c>
      <c r="R7" s="32">
        <v>8</v>
      </c>
      <c r="S7" s="32">
        <v>8</v>
      </c>
      <c r="T7" s="33"/>
      <c r="U7" s="33"/>
      <c r="V7" s="32">
        <v>8</v>
      </c>
      <c r="W7" s="32">
        <v>8</v>
      </c>
      <c r="X7" s="29">
        <f t="shared" si="6"/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2">
        <v>8</v>
      </c>
      <c r="J8" s="31"/>
      <c r="K8" s="32">
        <v>8</v>
      </c>
      <c r="L8" s="32">
        <v>8</v>
      </c>
      <c r="M8" s="33"/>
      <c r="N8" s="33"/>
      <c r="O8" s="32">
        <v>8</v>
      </c>
      <c r="P8" s="32">
        <v>8</v>
      </c>
      <c r="Q8" s="32">
        <v>8</v>
      </c>
      <c r="R8" s="32">
        <v>8</v>
      </c>
      <c r="S8" s="32">
        <v>8</v>
      </c>
      <c r="T8" s="33"/>
      <c r="U8" s="33"/>
      <c r="V8" s="32">
        <v>8</v>
      </c>
      <c r="W8" s="32">
        <v>8</v>
      </c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72</v>
      </c>
      <c r="G9" s="29">
        <f t="shared" si="5"/>
        <v>72</v>
      </c>
      <c r="H9" s="30">
        <v>0</v>
      </c>
      <c r="I9" s="32">
        <v>8</v>
      </c>
      <c r="J9" s="31"/>
      <c r="K9" s="32">
        <v>8</v>
      </c>
      <c r="L9" s="32">
        <v>8</v>
      </c>
      <c r="M9" s="33"/>
      <c r="N9" s="33"/>
      <c r="O9" s="32">
        <v>8</v>
      </c>
      <c r="P9" s="32">
        <v>8</v>
      </c>
      <c r="Q9" s="38"/>
      <c r="R9" s="32">
        <v>8</v>
      </c>
      <c r="S9" s="32">
        <v>8</v>
      </c>
      <c r="T9" s="33"/>
      <c r="U9" s="33"/>
      <c r="V9" s="48">
        <v>8</v>
      </c>
      <c r="W9" s="48">
        <v>8</v>
      </c>
      <c r="X9" s="29">
        <f t="shared" si="6"/>
        <v>1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80</v>
      </c>
      <c r="G10" s="29">
        <f t="shared" si="5"/>
        <v>80</v>
      </c>
      <c r="H10" s="30">
        <v>0</v>
      </c>
      <c r="I10" s="32">
        <v>8</v>
      </c>
      <c r="J10" s="31"/>
      <c r="K10" s="32">
        <v>8</v>
      </c>
      <c r="L10" s="32">
        <v>8</v>
      </c>
      <c r="M10" s="33"/>
      <c r="N10" s="33"/>
      <c r="O10" s="32">
        <v>8</v>
      </c>
      <c r="P10" s="32">
        <v>8</v>
      </c>
      <c r="Q10" s="32">
        <v>8</v>
      </c>
      <c r="R10" s="32">
        <v>8</v>
      </c>
      <c r="S10" s="32">
        <v>8</v>
      </c>
      <c r="T10" s="33"/>
      <c r="U10" s="33"/>
      <c r="V10" s="32">
        <v>8</v>
      </c>
      <c r="W10" s="32">
        <v>8</v>
      </c>
      <c r="X10" s="29">
        <f t="shared" si="6"/>
        <v>0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448</v>
      </c>
      <c r="G16" s="194">
        <f t="shared" si="8"/>
        <v>448</v>
      </c>
      <c r="H16" s="194">
        <f t="shared" si="8"/>
        <v>0</v>
      </c>
      <c r="I16" s="194">
        <f t="shared" si="8"/>
        <v>48</v>
      </c>
      <c r="J16" s="194">
        <f t="shared" si="8"/>
        <v>0</v>
      </c>
      <c r="K16" s="194">
        <f t="shared" si="8"/>
        <v>32</v>
      </c>
      <c r="L16" s="194">
        <f t="shared" si="8"/>
        <v>40</v>
      </c>
      <c r="M16" s="194">
        <f t="shared" si="8"/>
        <v>0</v>
      </c>
      <c r="N16" s="194">
        <f t="shared" si="8"/>
        <v>0</v>
      </c>
      <c r="O16" s="194">
        <f t="shared" si="8"/>
        <v>48</v>
      </c>
      <c r="P16" s="194">
        <f t="shared" si="8"/>
        <v>48</v>
      </c>
      <c r="Q16" s="194">
        <f t="shared" si="8"/>
        <v>40</v>
      </c>
      <c r="R16" s="194">
        <f t="shared" si="8"/>
        <v>48</v>
      </c>
      <c r="S16" s="194">
        <f t="shared" si="8"/>
        <v>48</v>
      </c>
      <c r="T16" s="194">
        <f t="shared" si="8"/>
        <v>0</v>
      </c>
      <c r="U16" s="194">
        <f t="shared" si="8"/>
        <v>0</v>
      </c>
      <c r="V16" s="194">
        <f t="shared" si="8"/>
        <v>48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5" t="s">
        <v>1</v>
      </c>
      <c r="B19" s="265" t="s">
        <v>2</v>
      </c>
      <c r="C19" s="265" t="s">
        <v>3</v>
      </c>
      <c r="D19" s="265" t="s">
        <v>4</v>
      </c>
      <c r="E19" s="270" t="s">
        <v>5</v>
      </c>
      <c r="F19" s="271"/>
      <c r="G19" s="271"/>
      <c r="H19" s="272"/>
      <c r="I19" s="44">
        <f>W3+1</f>
        <v>45581</v>
      </c>
      <c r="J19" s="44">
        <f t="shared" ref="J19:X19" si="9">I19+1</f>
        <v>45582</v>
      </c>
      <c r="K19" s="44">
        <f t="shared" si="9"/>
        <v>45583</v>
      </c>
      <c r="L19" s="14">
        <f t="shared" si="9"/>
        <v>45584</v>
      </c>
      <c r="M19" s="44">
        <f t="shared" si="9"/>
        <v>45585</v>
      </c>
      <c r="N19" s="44">
        <f t="shared" si="9"/>
        <v>45586</v>
      </c>
      <c r="O19" s="44">
        <f t="shared" si="9"/>
        <v>45587</v>
      </c>
      <c r="P19" s="44">
        <f t="shared" si="9"/>
        <v>45588</v>
      </c>
      <c r="Q19" s="44">
        <f t="shared" si="9"/>
        <v>45589</v>
      </c>
      <c r="R19" s="44">
        <f t="shared" si="9"/>
        <v>45590</v>
      </c>
      <c r="S19" s="44">
        <f t="shared" si="9"/>
        <v>45591</v>
      </c>
      <c r="T19" s="44">
        <f t="shared" si="9"/>
        <v>45592</v>
      </c>
      <c r="U19" s="44">
        <f t="shared" si="9"/>
        <v>45593</v>
      </c>
      <c r="V19" s="44">
        <f t="shared" si="9"/>
        <v>45594</v>
      </c>
      <c r="W19" s="44">
        <f t="shared" si="9"/>
        <v>45595</v>
      </c>
      <c r="X19" s="44">
        <f t="shared" si="9"/>
        <v>45596</v>
      </c>
      <c r="Y19" s="265" t="s">
        <v>6</v>
      </c>
      <c r="Z19" s="265" t="s">
        <v>7</v>
      </c>
      <c r="AA19" s="13"/>
      <c r="AB19" s="15"/>
    </row>
    <row r="20" spans="1:35" ht="26.25" customHeight="1">
      <c r="A20" s="266"/>
      <c r="B20" s="266"/>
      <c r="C20" s="266"/>
      <c r="D20" s="266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Wed</v>
      </c>
      <c r="J20" s="22" t="str">
        <f t="shared" si="10"/>
        <v>Thu</v>
      </c>
      <c r="K20" s="22" t="str">
        <f t="shared" si="10"/>
        <v>Fri</v>
      </c>
      <c r="L20" s="22" t="str">
        <f t="shared" si="10"/>
        <v>Sat</v>
      </c>
      <c r="M20" s="22" t="str">
        <f t="shared" si="10"/>
        <v>Sun</v>
      </c>
      <c r="N20" s="22" t="str">
        <f t="shared" si="10"/>
        <v>Mon</v>
      </c>
      <c r="O20" s="22" t="str">
        <f t="shared" si="10"/>
        <v>Tue</v>
      </c>
      <c r="P20" s="21" t="str">
        <f t="shared" si="10"/>
        <v>Wed</v>
      </c>
      <c r="Q20" s="21" t="str">
        <f t="shared" si="10"/>
        <v>Thu</v>
      </c>
      <c r="R20" s="22" t="str">
        <f t="shared" si="10"/>
        <v>Fri</v>
      </c>
      <c r="S20" s="22" t="str">
        <f t="shared" si="10"/>
        <v>Sat</v>
      </c>
      <c r="T20" s="22" t="str">
        <f t="shared" si="10"/>
        <v>Sun</v>
      </c>
      <c r="U20" s="22" t="str">
        <f t="shared" si="10"/>
        <v>Mon</v>
      </c>
      <c r="V20" s="22" t="str">
        <f t="shared" si="10"/>
        <v>Tue</v>
      </c>
      <c r="W20" s="22" t="str">
        <f t="shared" si="10"/>
        <v>Wed</v>
      </c>
      <c r="X20" s="22" t="str">
        <f t="shared" si="10"/>
        <v>Thu</v>
      </c>
      <c r="Y20" s="266"/>
      <c r="Z20" s="266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88</v>
      </c>
      <c r="E21" s="29">
        <f t="shared" ref="E21:E26" si="12">Z21*8</f>
        <v>88</v>
      </c>
      <c r="F21" s="29">
        <f t="shared" ref="F21:F26" si="13">G21+H21</f>
        <v>88</v>
      </c>
      <c r="G21" s="29">
        <f t="shared" ref="G21:G26" si="14">SUM(I21:X21)</f>
        <v>88</v>
      </c>
      <c r="H21" s="30">
        <v>0</v>
      </c>
      <c r="I21" s="32">
        <v>8</v>
      </c>
      <c r="J21" s="32">
        <v>8</v>
      </c>
      <c r="K21" s="32">
        <v>8</v>
      </c>
      <c r="L21" s="33"/>
      <c r="M21" s="33"/>
      <c r="N21" s="32">
        <v>8</v>
      </c>
      <c r="O21" s="32">
        <v>8</v>
      </c>
      <c r="P21" s="32">
        <v>8</v>
      </c>
      <c r="Q21" s="32">
        <v>8</v>
      </c>
      <c r="R21" s="32">
        <v>8</v>
      </c>
      <c r="S21" s="33"/>
      <c r="T21" s="33"/>
      <c r="U21" s="32">
        <v>8</v>
      </c>
      <c r="V21" s="46">
        <v>8</v>
      </c>
      <c r="W21" s="32">
        <v>8</v>
      </c>
      <c r="X21" s="31"/>
      <c r="Y21" s="29">
        <f t="shared" ref="Y21:Y26" si="15">Z21-COUNTA(I21:X21)</f>
        <v>0</v>
      </c>
      <c r="Z21" s="34"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88</v>
      </c>
      <c r="E22" s="29">
        <f t="shared" si="12"/>
        <v>88</v>
      </c>
      <c r="F22" s="29">
        <f t="shared" si="13"/>
        <v>88</v>
      </c>
      <c r="G22" s="29">
        <f t="shared" si="14"/>
        <v>88</v>
      </c>
      <c r="H22" s="30">
        <v>0</v>
      </c>
      <c r="I22" s="32">
        <v>8</v>
      </c>
      <c r="J22" s="32">
        <v>8</v>
      </c>
      <c r="K22" s="32">
        <v>8</v>
      </c>
      <c r="L22" s="33"/>
      <c r="M22" s="33"/>
      <c r="N22" s="32">
        <v>8</v>
      </c>
      <c r="O22" s="32">
        <v>8</v>
      </c>
      <c r="P22" s="32">
        <v>8</v>
      </c>
      <c r="Q22" s="32">
        <v>8</v>
      </c>
      <c r="R22" s="32">
        <v>8</v>
      </c>
      <c r="S22" s="33"/>
      <c r="T22" s="33"/>
      <c r="U22" s="32">
        <v>8</v>
      </c>
      <c r="V22" s="46">
        <v>8</v>
      </c>
      <c r="W22" s="32">
        <v>8</v>
      </c>
      <c r="X22" s="31"/>
      <c r="Y22" s="29">
        <f t="shared" si="15"/>
        <v>0</v>
      </c>
      <c r="Z22" s="34"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88</v>
      </c>
      <c r="E23" s="29">
        <f t="shared" si="12"/>
        <v>88</v>
      </c>
      <c r="F23" s="29">
        <f t="shared" si="13"/>
        <v>80</v>
      </c>
      <c r="G23" s="29">
        <f t="shared" si="14"/>
        <v>80</v>
      </c>
      <c r="H23" s="30">
        <v>0</v>
      </c>
      <c r="I23" s="32">
        <v>8</v>
      </c>
      <c r="J23" s="32">
        <v>8</v>
      </c>
      <c r="K23" s="32">
        <v>8</v>
      </c>
      <c r="L23" s="33"/>
      <c r="M23" s="33"/>
      <c r="N23" s="38"/>
      <c r="O23" s="32">
        <v>8</v>
      </c>
      <c r="P23" s="32">
        <v>8</v>
      </c>
      <c r="Q23" s="32">
        <v>8</v>
      </c>
      <c r="R23" s="48">
        <v>8</v>
      </c>
      <c r="S23" s="33"/>
      <c r="T23" s="33"/>
      <c r="U23" s="32">
        <v>8</v>
      </c>
      <c r="V23" s="46">
        <v>8</v>
      </c>
      <c r="W23" s="32">
        <v>8</v>
      </c>
      <c r="X23" s="31"/>
      <c r="Y23" s="29">
        <f t="shared" si="15"/>
        <v>1</v>
      </c>
      <c r="Z23" s="34"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88</v>
      </c>
      <c r="E24" s="29">
        <f t="shared" si="12"/>
        <v>88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2">
        <v>8</v>
      </c>
      <c r="K24" s="32">
        <v>8</v>
      </c>
      <c r="L24" s="33"/>
      <c r="M24" s="33"/>
      <c r="N24" s="32">
        <v>8</v>
      </c>
      <c r="O24" s="32">
        <v>8</v>
      </c>
      <c r="P24" s="32">
        <v>8</v>
      </c>
      <c r="Q24" s="32">
        <v>8</v>
      </c>
      <c r="R24" s="32">
        <v>8</v>
      </c>
      <c r="S24" s="33"/>
      <c r="T24" s="33"/>
      <c r="U24" s="32">
        <v>8</v>
      </c>
      <c r="V24" s="46">
        <v>8</v>
      </c>
      <c r="W24" s="32">
        <v>8</v>
      </c>
      <c r="X24" s="31"/>
      <c r="Y24" s="29">
        <f t="shared" si="15"/>
        <v>0</v>
      </c>
      <c r="Z24" s="34"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88</v>
      </c>
      <c r="E25" s="29">
        <f t="shared" si="12"/>
        <v>88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2">
        <v>8</v>
      </c>
      <c r="K25" s="32">
        <v>8</v>
      </c>
      <c r="L25" s="33"/>
      <c r="M25" s="33"/>
      <c r="N25" s="32">
        <v>8</v>
      </c>
      <c r="O25" s="32">
        <v>8</v>
      </c>
      <c r="P25" s="32">
        <v>8</v>
      </c>
      <c r="Q25" s="32">
        <v>8</v>
      </c>
      <c r="R25" s="48">
        <v>8</v>
      </c>
      <c r="S25" s="33"/>
      <c r="T25" s="33"/>
      <c r="U25" s="32">
        <v>8</v>
      </c>
      <c r="V25" s="46">
        <v>8</v>
      </c>
      <c r="W25" s="32">
        <v>8</v>
      </c>
      <c r="X25" s="31"/>
      <c r="Y25" s="29">
        <f t="shared" si="15"/>
        <v>0</v>
      </c>
      <c r="Z25" s="34"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88</v>
      </c>
      <c r="E26" s="29">
        <f t="shared" si="12"/>
        <v>88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2">
        <v>8</v>
      </c>
      <c r="L26" s="33"/>
      <c r="M26" s="33"/>
      <c r="N26" s="32">
        <v>8</v>
      </c>
      <c r="O26" s="32">
        <v>8</v>
      </c>
      <c r="P26" s="32">
        <v>8</v>
      </c>
      <c r="Q26" s="32">
        <v>8</v>
      </c>
      <c r="R26" s="32">
        <v>8</v>
      </c>
      <c r="S26" s="33"/>
      <c r="T26" s="33"/>
      <c r="U26" s="32">
        <v>8</v>
      </c>
      <c r="V26" s="32">
        <v>8</v>
      </c>
      <c r="W26" s="32">
        <v>8</v>
      </c>
      <c r="X26" s="31"/>
      <c r="Y26" s="29">
        <f t="shared" si="15"/>
        <v>0</v>
      </c>
      <c r="Z26" s="34">
        <v>11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528</v>
      </c>
      <c r="E32" s="194">
        <f t="shared" si="16"/>
        <v>528</v>
      </c>
      <c r="F32" s="194">
        <f t="shared" si="16"/>
        <v>520</v>
      </c>
      <c r="G32" s="194">
        <f t="shared" si="16"/>
        <v>520</v>
      </c>
      <c r="H32" s="194">
        <f t="shared" si="16"/>
        <v>0</v>
      </c>
      <c r="I32" s="194">
        <f t="shared" si="16"/>
        <v>48</v>
      </c>
      <c r="J32" s="194">
        <f t="shared" si="16"/>
        <v>48</v>
      </c>
      <c r="K32" s="194">
        <f t="shared" si="16"/>
        <v>48</v>
      </c>
      <c r="L32" s="194">
        <f t="shared" si="16"/>
        <v>0</v>
      </c>
      <c r="M32" s="194">
        <f t="shared" si="16"/>
        <v>0</v>
      </c>
      <c r="N32" s="194">
        <f t="shared" si="16"/>
        <v>40</v>
      </c>
      <c r="O32" s="194">
        <f t="shared" si="16"/>
        <v>48</v>
      </c>
      <c r="P32" s="194">
        <f t="shared" si="16"/>
        <v>48</v>
      </c>
      <c r="Q32" s="194">
        <f t="shared" si="16"/>
        <v>48</v>
      </c>
      <c r="R32" s="194">
        <f t="shared" si="16"/>
        <v>48</v>
      </c>
      <c r="S32" s="194">
        <f t="shared" si="16"/>
        <v>0</v>
      </c>
      <c r="T32" s="194">
        <f t="shared" si="16"/>
        <v>0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168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152</v>
      </c>
      <c r="C37" s="60">
        <f t="shared" si="18"/>
        <v>168</v>
      </c>
      <c r="D37" s="61">
        <f t="shared" si="19"/>
        <v>152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160</v>
      </c>
      <c r="C38" s="60">
        <f t="shared" si="18"/>
        <v>168</v>
      </c>
      <c r="D38" s="61">
        <f t="shared" si="19"/>
        <v>160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168</v>
      </c>
      <c r="C39" s="60">
        <f t="shared" si="18"/>
        <v>168</v>
      </c>
      <c r="D39" s="61">
        <f t="shared" si="19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160</v>
      </c>
      <c r="C40" s="60">
        <f t="shared" si="18"/>
        <v>168</v>
      </c>
      <c r="D40" s="61">
        <f t="shared" si="19"/>
        <v>160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168</v>
      </c>
      <c r="C41" s="67">
        <f t="shared" si="18"/>
        <v>168</v>
      </c>
      <c r="D41" s="68">
        <f t="shared" si="19"/>
        <v>168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7" t="s">
        <v>0</v>
      </c>
      <c r="B49" s="268"/>
      <c r="C49" s="269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7" t="s">
        <v>22</v>
      </c>
      <c r="B56" s="268"/>
      <c r="C56" s="269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12</v>
      </c>
      <c r="C58" s="79">
        <f t="shared" ref="C58:C59" si="27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1</v>
      </c>
      <c r="C59" s="79">
        <f t="shared" si="27"/>
        <v>8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11</v>
      </c>
      <c r="C60" s="81">
        <f t="shared" si="28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  <row r="998" ht="13"/>
    <row r="999" ht="13"/>
    <row r="1000" ht="13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E06666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baseColWidth="10" defaultColWidth="12.5" defaultRowHeight="15.75" customHeight="1"/>
  <cols>
    <col min="1" max="1" width="23.5" customWidth="1"/>
    <col min="2" max="2" width="11.83203125" customWidth="1"/>
    <col min="3" max="3" width="18.83203125" customWidth="1"/>
    <col min="4" max="4" width="10.5" customWidth="1"/>
    <col min="5" max="5" width="8.5" customWidth="1"/>
    <col min="6" max="6" width="7.5" customWidth="1"/>
    <col min="7" max="7" width="9.5" customWidth="1"/>
    <col min="8" max="8" width="9" customWidth="1"/>
    <col min="9" max="9" width="6.33203125" customWidth="1"/>
    <col min="10" max="11" width="6.5" customWidth="1"/>
    <col min="12" max="12" width="5.83203125" customWidth="1"/>
    <col min="13" max="14" width="6.5" customWidth="1"/>
    <col min="15" max="15" width="6.1640625" customWidth="1"/>
    <col min="16" max="16" width="6.33203125" customWidth="1"/>
    <col min="17" max="20" width="6.5" customWidth="1"/>
    <col min="21" max="21" width="6.6640625" customWidth="1"/>
    <col min="22" max="22" width="6.33203125" customWidth="1"/>
    <col min="23" max="23" width="6.5" customWidth="1"/>
    <col min="24" max="24" width="9.33203125" customWidth="1"/>
    <col min="25" max="25" width="9.5" customWidth="1"/>
    <col min="26" max="26" width="9.33203125" customWidth="1"/>
    <col min="27" max="27" width="8.6640625" customWidth="1"/>
    <col min="28" max="28" width="15.33203125" customWidth="1"/>
    <col min="29" max="29" width="14" customWidth="1"/>
    <col min="30" max="30" width="7.5" customWidth="1"/>
    <col min="31" max="31" width="17.6640625" customWidth="1"/>
    <col min="32" max="35" width="7.5" customWidth="1"/>
  </cols>
  <sheetData>
    <row r="1" spans="1:35" ht="15.75" customHeight="1">
      <c r="A1" s="1"/>
      <c r="B1" s="2"/>
      <c r="C1" s="3">
        <v>45597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5" t="s">
        <v>1</v>
      </c>
      <c r="B3" s="265" t="s">
        <v>2</v>
      </c>
      <c r="C3" s="265" t="s">
        <v>3</v>
      </c>
      <c r="D3" s="265" t="s">
        <v>4</v>
      </c>
      <c r="E3" s="270" t="s">
        <v>5</v>
      </c>
      <c r="F3" s="271"/>
      <c r="G3" s="271"/>
      <c r="H3" s="272"/>
      <c r="I3" s="14">
        <f>C1</f>
        <v>45597</v>
      </c>
      <c r="J3" s="14">
        <f t="shared" ref="J3:W3" si="0">I3+1</f>
        <v>45598</v>
      </c>
      <c r="K3" s="14">
        <f t="shared" si="0"/>
        <v>45599</v>
      </c>
      <c r="L3" s="14">
        <f t="shared" si="0"/>
        <v>45600</v>
      </c>
      <c r="M3" s="14">
        <f t="shared" si="0"/>
        <v>45601</v>
      </c>
      <c r="N3" s="14">
        <f t="shared" si="0"/>
        <v>45602</v>
      </c>
      <c r="O3" s="14">
        <f t="shared" si="0"/>
        <v>45603</v>
      </c>
      <c r="P3" s="14">
        <f t="shared" si="0"/>
        <v>45604</v>
      </c>
      <c r="Q3" s="14">
        <f t="shared" si="0"/>
        <v>45605</v>
      </c>
      <c r="R3" s="14">
        <f t="shared" si="0"/>
        <v>45606</v>
      </c>
      <c r="S3" s="14">
        <f t="shared" si="0"/>
        <v>45607</v>
      </c>
      <c r="T3" s="14">
        <f t="shared" si="0"/>
        <v>45608</v>
      </c>
      <c r="U3" s="14">
        <f t="shared" si="0"/>
        <v>45609</v>
      </c>
      <c r="V3" s="14">
        <f t="shared" si="0"/>
        <v>45610</v>
      </c>
      <c r="W3" s="14">
        <f t="shared" si="0"/>
        <v>45611</v>
      </c>
      <c r="X3" s="265" t="s">
        <v>6</v>
      </c>
      <c r="Y3" s="265" t="s">
        <v>7</v>
      </c>
      <c r="Z3" s="13"/>
      <c r="AA3" s="15"/>
      <c r="AB3" s="15"/>
    </row>
    <row r="4" spans="1:35" ht="26.25" customHeight="1">
      <c r="A4" s="266"/>
      <c r="B4" s="266"/>
      <c r="C4" s="266"/>
      <c r="D4" s="266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Fri</v>
      </c>
      <c r="J4" s="21" t="str">
        <f t="shared" si="1"/>
        <v>Sat</v>
      </c>
      <c r="K4" s="21" t="str">
        <f t="shared" si="1"/>
        <v>Sun</v>
      </c>
      <c r="L4" s="22" t="str">
        <f t="shared" si="1"/>
        <v>Mon</v>
      </c>
      <c r="M4" s="22" t="str">
        <f t="shared" si="1"/>
        <v>Tue</v>
      </c>
      <c r="N4" s="20" t="str">
        <f t="shared" si="1"/>
        <v>Wed</v>
      </c>
      <c r="O4" s="20" t="str">
        <f t="shared" si="1"/>
        <v>Thu</v>
      </c>
      <c r="P4" s="22" t="str">
        <f t="shared" si="1"/>
        <v>Fri</v>
      </c>
      <c r="Q4" s="22" t="str">
        <f t="shared" si="1"/>
        <v>Sat</v>
      </c>
      <c r="R4" s="22" t="str">
        <f t="shared" si="1"/>
        <v>Sun</v>
      </c>
      <c r="S4" s="22" t="str">
        <f t="shared" si="1"/>
        <v>Mon</v>
      </c>
      <c r="T4" s="22" t="str">
        <f t="shared" si="1"/>
        <v>Tue</v>
      </c>
      <c r="U4" s="22" t="str">
        <f t="shared" si="1"/>
        <v>Wed</v>
      </c>
      <c r="V4" s="22" t="str">
        <f t="shared" si="1"/>
        <v>Thu</v>
      </c>
      <c r="W4" s="22" t="str">
        <f t="shared" si="1"/>
        <v>Fri</v>
      </c>
      <c r="X4" s="266"/>
      <c r="Y4" s="266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1"/>
      <c r="J5" s="33"/>
      <c r="K5" s="33"/>
      <c r="L5" s="32">
        <v>8</v>
      </c>
      <c r="M5" s="32">
        <v>8</v>
      </c>
      <c r="N5" s="32">
        <v>8</v>
      </c>
      <c r="O5" s="32">
        <v>8</v>
      </c>
      <c r="P5" s="32">
        <v>8</v>
      </c>
      <c r="Q5" s="33"/>
      <c r="R5" s="33"/>
      <c r="S5" s="32">
        <v>8</v>
      </c>
      <c r="T5" s="32">
        <v>8</v>
      </c>
      <c r="U5" s="32">
        <v>8</v>
      </c>
      <c r="V5" s="32">
        <v>8</v>
      </c>
      <c r="W5" s="32">
        <v>8</v>
      </c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1"/>
      <c r="J6" s="33"/>
      <c r="K6" s="33"/>
      <c r="L6" s="32">
        <v>8</v>
      </c>
      <c r="M6" s="32">
        <v>8</v>
      </c>
      <c r="N6" s="32">
        <v>8</v>
      </c>
      <c r="O6" s="32">
        <v>8</v>
      </c>
      <c r="P6" s="32">
        <v>8</v>
      </c>
      <c r="Q6" s="33"/>
      <c r="R6" s="33"/>
      <c r="S6" s="32">
        <v>8</v>
      </c>
      <c r="T6" s="32">
        <v>8</v>
      </c>
      <c r="U6" s="32">
        <v>8</v>
      </c>
      <c r="V6" s="32">
        <v>8</v>
      </c>
      <c r="W6" s="32">
        <v>8</v>
      </c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1"/>
      <c r="J7" s="33"/>
      <c r="K7" s="33"/>
      <c r="L7" s="32">
        <v>8</v>
      </c>
      <c r="M7" s="32">
        <v>8</v>
      </c>
      <c r="N7" s="32">
        <v>8</v>
      </c>
      <c r="O7" s="32">
        <v>8</v>
      </c>
      <c r="P7" s="32">
        <v>8</v>
      </c>
      <c r="Q7" s="33"/>
      <c r="R7" s="33"/>
      <c r="S7" s="32">
        <v>8</v>
      </c>
      <c r="T7" s="32">
        <v>8</v>
      </c>
      <c r="U7" s="32">
        <v>8</v>
      </c>
      <c r="V7" s="32">
        <v>8</v>
      </c>
      <c r="W7" s="32">
        <v>8</v>
      </c>
      <c r="X7" s="29">
        <f t="shared" si="6"/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1"/>
      <c r="J8" s="33"/>
      <c r="K8" s="33"/>
      <c r="L8" s="32">
        <v>8</v>
      </c>
      <c r="M8" s="32">
        <v>8</v>
      </c>
      <c r="N8" s="32">
        <v>8</v>
      </c>
      <c r="O8" s="32">
        <v>8</v>
      </c>
      <c r="P8" s="32">
        <v>8</v>
      </c>
      <c r="Q8" s="33"/>
      <c r="R8" s="33"/>
      <c r="S8" s="32">
        <v>8</v>
      </c>
      <c r="T8" s="32">
        <v>8</v>
      </c>
      <c r="U8" s="32">
        <v>8</v>
      </c>
      <c r="V8" s="32">
        <v>8</v>
      </c>
      <c r="W8" s="32">
        <v>8</v>
      </c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72</v>
      </c>
      <c r="G9" s="29">
        <f t="shared" si="5"/>
        <v>72</v>
      </c>
      <c r="H9" s="30">
        <v>0</v>
      </c>
      <c r="I9" s="31"/>
      <c r="J9" s="33"/>
      <c r="K9" s="33"/>
      <c r="L9" s="38"/>
      <c r="M9" s="32">
        <v>8</v>
      </c>
      <c r="N9" s="32">
        <v>8</v>
      </c>
      <c r="O9" s="32">
        <v>8</v>
      </c>
      <c r="P9" s="32">
        <v>8</v>
      </c>
      <c r="Q9" s="33"/>
      <c r="R9" s="33"/>
      <c r="S9" s="32">
        <v>8</v>
      </c>
      <c r="T9" s="32">
        <v>8</v>
      </c>
      <c r="U9" s="32">
        <v>8</v>
      </c>
      <c r="V9" s="48">
        <v>8</v>
      </c>
      <c r="W9" s="48">
        <v>8</v>
      </c>
      <c r="X9" s="29">
        <f t="shared" si="6"/>
        <v>1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1"/>
      <c r="J10" s="33"/>
      <c r="K10" s="33"/>
      <c r="L10" s="32">
        <v>8</v>
      </c>
      <c r="M10" s="32">
        <v>8</v>
      </c>
      <c r="N10" s="32">
        <v>8</v>
      </c>
      <c r="O10" s="38"/>
      <c r="P10" s="32">
        <v>8</v>
      </c>
      <c r="Q10" s="33"/>
      <c r="R10" s="33"/>
      <c r="S10" s="32">
        <v>8</v>
      </c>
      <c r="T10" s="32">
        <v>8</v>
      </c>
      <c r="U10" s="32">
        <v>8</v>
      </c>
      <c r="V10" s="32">
        <v>8</v>
      </c>
      <c r="W10" s="32">
        <v>8</v>
      </c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464</v>
      </c>
      <c r="G16" s="194">
        <f t="shared" si="8"/>
        <v>464</v>
      </c>
      <c r="H16" s="194">
        <f t="shared" si="8"/>
        <v>0</v>
      </c>
      <c r="I16" s="194">
        <f t="shared" si="8"/>
        <v>0</v>
      </c>
      <c r="J16" s="194">
        <f t="shared" si="8"/>
        <v>0</v>
      </c>
      <c r="K16" s="194">
        <f t="shared" si="8"/>
        <v>0</v>
      </c>
      <c r="L16" s="194">
        <f t="shared" si="8"/>
        <v>40</v>
      </c>
      <c r="M16" s="194">
        <f t="shared" si="8"/>
        <v>48</v>
      </c>
      <c r="N16" s="194">
        <f t="shared" si="8"/>
        <v>48</v>
      </c>
      <c r="O16" s="194">
        <f t="shared" si="8"/>
        <v>40</v>
      </c>
      <c r="P16" s="194">
        <f t="shared" si="8"/>
        <v>48</v>
      </c>
      <c r="Q16" s="194">
        <f t="shared" si="8"/>
        <v>0</v>
      </c>
      <c r="R16" s="194">
        <f t="shared" si="8"/>
        <v>0</v>
      </c>
      <c r="S16" s="194">
        <f t="shared" si="8"/>
        <v>48</v>
      </c>
      <c r="T16" s="194">
        <f t="shared" si="8"/>
        <v>48</v>
      </c>
      <c r="U16" s="194">
        <f t="shared" si="8"/>
        <v>48</v>
      </c>
      <c r="V16" s="194">
        <f t="shared" si="8"/>
        <v>48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5" t="s">
        <v>1</v>
      </c>
      <c r="B19" s="265" t="s">
        <v>2</v>
      </c>
      <c r="C19" s="265" t="s">
        <v>3</v>
      </c>
      <c r="D19" s="265" t="s">
        <v>4</v>
      </c>
      <c r="E19" s="270" t="s">
        <v>5</v>
      </c>
      <c r="F19" s="271"/>
      <c r="G19" s="271"/>
      <c r="H19" s="272"/>
      <c r="I19" s="44">
        <f>W3+1</f>
        <v>45612</v>
      </c>
      <c r="J19" s="44">
        <f t="shared" ref="J19:W19" si="9">I19+1</f>
        <v>45613</v>
      </c>
      <c r="K19" s="44">
        <f t="shared" si="9"/>
        <v>45614</v>
      </c>
      <c r="L19" s="14">
        <f t="shared" si="9"/>
        <v>45615</v>
      </c>
      <c r="M19" s="44">
        <f t="shared" si="9"/>
        <v>45616</v>
      </c>
      <c r="N19" s="44">
        <f t="shared" si="9"/>
        <v>45617</v>
      </c>
      <c r="O19" s="44">
        <f t="shared" si="9"/>
        <v>45618</v>
      </c>
      <c r="P19" s="44">
        <f t="shared" si="9"/>
        <v>45619</v>
      </c>
      <c r="Q19" s="44">
        <f t="shared" si="9"/>
        <v>45620</v>
      </c>
      <c r="R19" s="44">
        <f t="shared" si="9"/>
        <v>45621</v>
      </c>
      <c r="S19" s="44">
        <f t="shared" si="9"/>
        <v>45622</v>
      </c>
      <c r="T19" s="44">
        <f t="shared" si="9"/>
        <v>45623</v>
      </c>
      <c r="U19" s="44">
        <f t="shared" si="9"/>
        <v>45624</v>
      </c>
      <c r="V19" s="44">
        <f t="shared" si="9"/>
        <v>45625</v>
      </c>
      <c r="W19" s="44">
        <f t="shared" si="9"/>
        <v>45626</v>
      </c>
      <c r="X19" s="91"/>
      <c r="Y19" s="265" t="s">
        <v>6</v>
      </c>
      <c r="Z19" s="265" t="s">
        <v>7</v>
      </c>
      <c r="AA19" s="13"/>
      <c r="AB19" s="15"/>
    </row>
    <row r="20" spans="1:35" ht="26.25" customHeight="1">
      <c r="A20" s="266"/>
      <c r="B20" s="266"/>
      <c r="C20" s="266"/>
      <c r="D20" s="266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W20" si="10">IF(I19="","",TEXT(WEEKDAY(I19), "ddd"))</f>
        <v>Sat</v>
      </c>
      <c r="J20" s="22" t="str">
        <f t="shared" si="10"/>
        <v>Sun</v>
      </c>
      <c r="K20" s="22" t="str">
        <f t="shared" si="10"/>
        <v>Mon</v>
      </c>
      <c r="L20" s="22" t="str">
        <f t="shared" si="10"/>
        <v>Tue</v>
      </c>
      <c r="M20" s="22" t="str">
        <f t="shared" si="10"/>
        <v>Wed</v>
      </c>
      <c r="N20" s="22" t="str">
        <f t="shared" si="10"/>
        <v>Thu</v>
      </c>
      <c r="O20" s="22" t="str">
        <f t="shared" si="10"/>
        <v>Fri</v>
      </c>
      <c r="P20" s="21" t="str">
        <f t="shared" si="10"/>
        <v>Sat</v>
      </c>
      <c r="Q20" s="21" t="str">
        <f t="shared" si="10"/>
        <v>Sun</v>
      </c>
      <c r="R20" s="22" t="str">
        <f t="shared" si="10"/>
        <v>Mon</v>
      </c>
      <c r="S20" s="22" t="str">
        <f t="shared" si="10"/>
        <v>Tue</v>
      </c>
      <c r="T20" s="22" t="str">
        <f t="shared" si="10"/>
        <v>Wed</v>
      </c>
      <c r="U20" s="22" t="str">
        <f t="shared" si="10"/>
        <v>Thu</v>
      </c>
      <c r="V20" s="22" t="str">
        <f t="shared" si="10"/>
        <v>Fri</v>
      </c>
      <c r="W20" s="22" t="str">
        <f t="shared" si="10"/>
        <v>Sat</v>
      </c>
      <c r="X20" s="46"/>
      <c r="Y20" s="266"/>
      <c r="Z20" s="266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80</v>
      </c>
      <c r="E21" s="29">
        <f t="shared" ref="E21:E26" si="12">Z21*8</f>
        <v>80</v>
      </c>
      <c r="F21" s="29">
        <f t="shared" ref="F21:F26" si="13">G21+H21</f>
        <v>80</v>
      </c>
      <c r="G21" s="29">
        <f t="shared" ref="G21:G26" si="14">SUM(I21:X21)</f>
        <v>80</v>
      </c>
      <c r="H21" s="30">
        <v>0</v>
      </c>
      <c r="I21" s="33"/>
      <c r="J21" s="33"/>
      <c r="K21" s="32">
        <v>8</v>
      </c>
      <c r="L21" s="32">
        <v>8</v>
      </c>
      <c r="M21" s="32">
        <v>8</v>
      </c>
      <c r="N21" s="32">
        <v>8</v>
      </c>
      <c r="O21" s="32">
        <v>8</v>
      </c>
      <c r="P21" s="33"/>
      <c r="Q21" s="33"/>
      <c r="R21" s="32">
        <v>8</v>
      </c>
      <c r="S21" s="32">
        <v>8</v>
      </c>
      <c r="T21" s="32">
        <v>8</v>
      </c>
      <c r="U21" s="32">
        <v>8</v>
      </c>
      <c r="V21" s="46">
        <v>8</v>
      </c>
      <c r="W21" s="33"/>
      <c r="X21" s="32"/>
      <c r="Y21" s="29">
        <f t="shared" ref="Y21:Y26" si="15">Z21-COUNTA(I21:X21)</f>
        <v>0</v>
      </c>
      <c r="Z21" s="34">
        <v>10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80</v>
      </c>
      <c r="E22" s="29">
        <f t="shared" si="12"/>
        <v>80</v>
      </c>
      <c r="F22" s="29">
        <f t="shared" si="13"/>
        <v>80</v>
      </c>
      <c r="G22" s="29">
        <f t="shared" si="14"/>
        <v>80</v>
      </c>
      <c r="H22" s="30">
        <v>0</v>
      </c>
      <c r="I22" s="33"/>
      <c r="J22" s="33"/>
      <c r="K22" s="32">
        <v>8</v>
      </c>
      <c r="L22" s="32">
        <v>8</v>
      </c>
      <c r="M22" s="32">
        <v>8</v>
      </c>
      <c r="N22" s="32">
        <v>8</v>
      </c>
      <c r="O22" s="32">
        <v>8</v>
      </c>
      <c r="P22" s="33"/>
      <c r="Q22" s="33"/>
      <c r="R22" s="32">
        <v>8</v>
      </c>
      <c r="S22" s="32">
        <v>8</v>
      </c>
      <c r="T22" s="32">
        <v>8</v>
      </c>
      <c r="U22" s="32">
        <v>8</v>
      </c>
      <c r="V22" s="46">
        <v>8</v>
      </c>
      <c r="W22" s="33"/>
      <c r="X22" s="32"/>
      <c r="Y22" s="29">
        <f t="shared" si="15"/>
        <v>0</v>
      </c>
      <c r="Z22" s="34">
        <v>10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80</v>
      </c>
      <c r="E23" s="29">
        <f t="shared" si="12"/>
        <v>80</v>
      </c>
      <c r="F23" s="29">
        <f t="shared" si="13"/>
        <v>72</v>
      </c>
      <c r="G23" s="29">
        <f t="shared" si="14"/>
        <v>72</v>
      </c>
      <c r="H23" s="30">
        <v>0</v>
      </c>
      <c r="I23" s="33"/>
      <c r="J23" s="33"/>
      <c r="K23" s="32">
        <v>8</v>
      </c>
      <c r="L23" s="32">
        <v>8</v>
      </c>
      <c r="M23" s="32">
        <v>8</v>
      </c>
      <c r="N23" s="32">
        <v>8</v>
      </c>
      <c r="O23" s="32">
        <v>8</v>
      </c>
      <c r="P23" s="33"/>
      <c r="Q23" s="33"/>
      <c r="R23" s="38"/>
      <c r="S23" s="32">
        <v>8</v>
      </c>
      <c r="T23" s="32">
        <v>8</v>
      </c>
      <c r="U23" s="32">
        <v>8</v>
      </c>
      <c r="V23" s="46">
        <v>8</v>
      </c>
      <c r="W23" s="33"/>
      <c r="X23" s="32"/>
      <c r="Y23" s="29">
        <f t="shared" si="15"/>
        <v>1</v>
      </c>
      <c r="Z23" s="34">
        <v>10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80</v>
      </c>
      <c r="E24" s="29">
        <f t="shared" si="12"/>
        <v>80</v>
      </c>
      <c r="F24" s="29">
        <f t="shared" si="13"/>
        <v>72</v>
      </c>
      <c r="G24" s="29">
        <f t="shared" si="14"/>
        <v>72</v>
      </c>
      <c r="H24" s="30">
        <v>0</v>
      </c>
      <c r="I24" s="33"/>
      <c r="J24" s="33"/>
      <c r="K24" s="32">
        <v>8</v>
      </c>
      <c r="L24" s="32">
        <v>8</v>
      </c>
      <c r="M24" s="32">
        <v>8</v>
      </c>
      <c r="N24" s="32">
        <v>8</v>
      </c>
      <c r="O24" s="32">
        <v>8</v>
      </c>
      <c r="P24" s="33"/>
      <c r="Q24" s="33"/>
      <c r="R24" s="32">
        <v>8</v>
      </c>
      <c r="S24" s="38"/>
      <c r="T24" s="32">
        <v>8</v>
      </c>
      <c r="U24" s="32">
        <v>8</v>
      </c>
      <c r="V24" s="46">
        <v>8</v>
      </c>
      <c r="W24" s="33"/>
      <c r="X24" s="32"/>
      <c r="Y24" s="29">
        <f t="shared" si="15"/>
        <v>1</v>
      </c>
      <c r="Z24" s="34">
        <v>10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80</v>
      </c>
      <c r="E25" s="29">
        <f t="shared" si="12"/>
        <v>80</v>
      </c>
      <c r="F25" s="29">
        <f t="shared" si="13"/>
        <v>80</v>
      </c>
      <c r="G25" s="29">
        <f t="shared" si="14"/>
        <v>80</v>
      </c>
      <c r="H25" s="30">
        <v>0</v>
      </c>
      <c r="I25" s="33"/>
      <c r="J25" s="33"/>
      <c r="K25" s="32">
        <v>8</v>
      </c>
      <c r="L25" s="32">
        <v>8</v>
      </c>
      <c r="M25" s="32">
        <v>8</v>
      </c>
      <c r="N25" s="32">
        <v>8</v>
      </c>
      <c r="O25" s="32">
        <v>8</v>
      </c>
      <c r="P25" s="33"/>
      <c r="Q25" s="33"/>
      <c r="R25" s="48">
        <v>8</v>
      </c>
      <c r="S25" s="32">
        <v>8</v>
      </c>
      <c r="T25" s="32">
        <v>8</v>
      </c>
      <c r="U25" s="32">
        <v>8</v>
      </c>
      <c r="V25" s="46">
        <v>8</v>
      </c>
      <c r="W25" s="33"/>
      <c r="X25" s="32"/>
      <c r="Y25" s="29">
        <f t="shared" si="15"/>
        <v>0</v>
      </c>
      <c r="Z25" s="34">
        <v>10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80</v>
      </c>
      <c r="E26" s="29">
        <f t="shared" si="12"/>
        <v>80</v>
      </c>
      <c r="F26" s="29">
        <f t="shared" si="13"/>
        <v>72</v>
      </c>
      <c r="G26" s="29">
        <f t="shared" si="14"/>
        <v>72</v>
      </c>
      <c r="H26" s="30">
        <v>0</v>
      </c>
      <c r="I26" s="33"/>
      <c r="J26" s="33"/>
      <c r="K26" s="32">
        <v>8</v>
      </c>
      <c r="L26" s="32">
        <v>8</v>
      </c>
      <c r="M26" s="32">
        <v>8</v>
      </c>
      <c r="N26" s="32">
        <v>8</v>
      </c>
      <c r="O26" s="32">
        <v>8</v>
      </c>
      <c r="P26" s="33"/>
      <c r="Q26" s="33"/>
      <c r="R26" s="32">
        <v>8</v>
      </c>
      <c r="S26" s="32">
        <v>8</v>
      </c>
      <c r="T26" s="32">
        <v>8</v>
      </c>
      <c r="U26" s="38"/>
      <c r="V26" s="32">
        <v>8</v>
      </c>
      <c r="W26" s="33"/>
      <c r="X26" s="32"/>
      <c r="Y26" s="29">
        <f t="shared" si="15"/>
        <v>1</v>
      </c>
      <c r="Z26" s="34">
        <v>10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480</v>
      </c>
      <c r="E32" s="194">
        <f t="shared" si="16"/>
        <v>480</v>
      </c>
      <c r="F32" s="194">
        <f t="shared" si="16"/>
        <v>456</v>
      </c>
      <c r="G32" s="194">
        <f t="shared" si="16"/>
        <v>456</v>
      </c>
      <c r="H32" s="194">
        <f t="shared" si="16"/>
        <v>0</v>
      </c>
      <c r="I32" s="194">
        <f t="shared" si="16"/>
        <v>0</v>
      </c>
      <c r="J32" s="194">
        <f t="shared" si="16"/>
        <v>0</v>
      </c>
      <c r="K32" s="194">
        <f t="shared" si="16"/>
        <v>48</v>
      </c>
      <c r="L32" s="194">
        <f t="shared" si="16"/>
        <v>48</v>
      </c>
      <c r="M32" s="194">
        <f t="shared" si="16"/>
        <v>48</v>
      </c>
      <c r="N32" s="194">
        <f t="shared" si="16"/>
        <v>48</v>
      </c>
      <c r="O32" s="194">
        <f t="shared" si="16"/>
        <v>48</v>
      </c>
      <c r="P32" s="194">
        <f t="shared" si="16"/>
        <v>0</v>
      </c>
      <c r="Q32" s="194">
        <f t="shared" si="16"/>
        <v>0</v>
      </c>
      <c r="R32" s="194">
        <f t="shared" si="16"/>
        <v>40</v>
      </c>
      <c r="S32" s="194">
        <f t="shared" si="16"/>
        <v>40</v>
      </c>
      <c r="T32" s="194">
        <f t="shared" si="16"/>
        <v>48</v>
      </c>
      <c r="U32" s="194">
        <f t="shared" si="16"/>
        <v>40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160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160</v>
      </c>
      <c r="C37" s="60">
        <f t="shared" si="18"/>
        <v>160</v>
      </c>
      <c r="D37" s="61">
        <f t="shared" si="19"/>
        <v>160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160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152</v>
      </c>
      <c r="C39" s="60">
        <f t="shared" si="18"/>
        <v>160</v>
      </c>
      <c r="D39" s="61">
        <f t="shared" si="19"/>
        <v>152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152</v>
      </c>
      <c r="C40" s="60">
        <f t="shared" si="18"/>
        <v>160</v>
      </c>
      <c r="D40" s="61">
        <f t="shared" si="19"/>
        <v>152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144</v>
      </c>
      <c r="C41" s="67">
        <f t="shared" si="18"/>
        <v>160</v>
      </c>
      <c r="D41" s="68">
        <f t="shared" si="19"/>
        <v>144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7" t="s">
        <v>0</v>
      </c>
      <c r="B49" s="268"/>
      <c r="C49" s="269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7" t="s">
        <v>22</v>
      </c>
      <c r="B56" s="268"/>
      <c r="C56" s="269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10</v>
      </c>
      <c r="C58" s="79">
        <f t="shared" ref="C58:C59" si="27">B58*8</f>
        <v>80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10</v>
      </c>
      <c r="C60" s="81">
        <f t="shared" si="28"/>
        <v>80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160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  <row r="998" ht="13"/>
    <row r="999" ht="13"/>
    <row r="1000" ht="13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6AA84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baseColWidth="10" defaultColWidth="12.5" defaultRowHeight="15.75" customHeight="1"/>
  <cols>
    <col min="1" max="1" width="23.5" customWidth="1"/>
    <col min="2" max="2" width="11.83203125" customWidth="1"/>
    <col min="3" max="3" width="18.83203125" customWidth="1"/>
    <col min="4" max="4" width="10.5" customWidth="1"/>
    <col min="5" max="5" width="8.5" customWidth="1"/>
    <col min="6" max="6" width="7.5" customWidth="1"/>
    <col min="7" max="7" width="9.5" customWidth="1"/>
    <col min="8" max="8" width="9" customWidth="1"/>
    <col min="9" max="9" width="6.33203125" customWidth="1"/>
    <col min="10" max="11" width="6.5" customWidth="1"/>
    <col min="12" max="12" width="5.83203125" customWidth="1"/>
    <col min="13" max="14" width="6.5" customWidth="1"/>
    <col min="15" max="15" width="6.1640625" customWidth="1"/>
    <col min="16" max="16" width="6.33203125" customWidth="1"/>
    <col min="17" max="20" width="6.5" customWidth="1"/>
    <col min="21" max="21" width="6.6640625" customWidth="1"/>
    <col min="22" max="22" width="6.33203125" customWidth="1"/>
    <col min="23" max="23" width="6.5" customWidth="1"/>
    <col min="24" max="24" width="9.33203125" customWidth="1"/>
    <col min="25" max="25" width="9.5" customWidth="1"/>
    <col min="26" max="26" width="9.33203125" customWidth="1"/>
    <col min="27" max="27" width="8.6640625" customWidth="1"/>
    <col min="28" max="28" width="15.33203125" customWidth="1"/>
    <col min="29" max="29" width="14" customWidth="1"/>
    <col min="30" max="30" width="7.5" customWidth="1"/>
    <col min="31" max="31" width="17.6640625" customWidth="1"/>
    <col min="32" max="35" width="7.5" customWidth="1"/>
  </cols>
  <sheetData>
    <row r="1" spans="1:35" ht="15.75" customHeight="1">
      <c r="A1" s="1"/>
      <c r="B1" s="2"/>
      <c r="C1" s="3">
        <v>45627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5" t="s">
        <v>1</v>
      </c>
      <c r="B3" s="265" t="s">
        <v>2</v>
      </c>
      <c r="C3" s="265" t="s">
        <v>3</v>
      </c>
      <c r="D3" s="265" t="s">
        <v>4</v>
      </c>
      <c r="E3" s="270" t="s">
        <v>5</v>
      </c>
      <c r="F3" s="271"/>
      <c r="G3" s="271"/>
      <c r="H3" s="272"/>
      <c r="I3" s="14">
        <f>C1</f>
        <v>45627</v>
      </c>
      <c r="J3" s="14">
        <f t="shared" ref="J3:W3" si="0">I3+1</f>
        <v>45628</v>
      </c>
      <c r="K3" s="14">
        <f t="shared" si="0"/>
        <v>45629</v>
      </c>
      <c r="L3" s="14">
        <f t="shared" si="0"/>
        <v>45630</v>
      </c>
      <c r="M3" s="14">
        <f t="shared" si="0"/>
        <v>45631</v>
      </c>
      <c r="N3" s="14">
        <f t="shared" si="0"/>
        <v>45632</v>
      </c>
      <c r="O3" s="14">
        <f t="shared" si="0"/>
        <v>45633</v>
      </c>
      <c r="P3" s="14">
        <f t="shared" si="0"/>
        <v>45634</v>
      </c>
      <c r="Q3" s="14">
        <f t="shared" si="0"/>
        <v>45635</v>
      </c>
      <c r="R3" s="14">
        <f t="shared" si="0"/>
        <v>45636</v>
      </c>
      <c r="S3" s="14">
        <f t="shared" si="0"/>
        <v>45637</v>
      </c>
      <c r="T3" s="14">
        <f t="shared" si="0"/>
        <v>45638</v>
      </c>
      <c r="U3" s="14">
        <f t="shared" si="0"/>
        <v>45639</v>
      </c>
      <c r="V3" s="14">
        <f t="shared" si="0"/>
        <v>45640</v>
      </c>
      <c r="W3" s="14">
        <f t="shared" si="0"/>
        <v>45641</v>
      </c>
      <c r="X3" s="265" t="s">
        <v>6</v>
      </c>
      <c r="Y3" s="265" t="s">
        <v>7</v>
      </c>
      <c r="Z3" s="13"/>
      <c r="AA3" s="15"/>
      <c r="AB3" s="15"/>
    </row>
    <row r="4" spans="1:35" ht="26.25" customHeight="1">
      <c r="A4" s="266"/>
      <c r="B4" s="266"/>
      <c r="C4" s="266"/>
      <c r="D4" s="266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Sun</v>
      </c>
      <c r="J4" s="21" t="str">
        <f t="shared" si="1"/>
        <v>Mon</v>
      </c>
      <c r="K4" s="21" t="str">
        <f t="shared" si="1"/>
        <v>Tue</v>
      </c>
      <c r="L4" s="22" t="str">
        <f t="shared" si="1"/>
        <v>Wed</v>
      </c>
      <c r="M4" s="22" t="str">
        <f t="shared" si="1"/>
        <v>Thu</v>
      </c>
      <c r="N4" s="20" t="str">
        <f t="shared" si="1"/>
        <v>Fri</v>
      </c>
      <c r="O4" s="20" t="str">
        <f t="shared" si="1"/>
        <v>Sat</v>
      </c>
      <c r="P4" s="22" t="str">
        <f t="shared" si="1"/>
        <v>Sun</v>
      </c>
      <c r="Q4" s="22" t="str">
        <f t="shared" si="1"/>
        <v>Mon</v>
      </c>
      <c r="R4" s="22" t="str">
        <f t="shared" si="1"/>
        <v>Tue</v>
      </c>
      <c r="S4" s="22" t="str">
        <f t="shared" si="1"/>
        <v>Wed</v>
      </c>
      <c r="T4" s="22" t="str">
        <f t="shared" si="1"/>
        <v>Thu</v>
      </c>
      <c r="U4" s="22" t="str">
        <f t="shared" si="1"/>
        <v>Fri</v>
      </c>
      <c r="V4" s="22" t="str">
        <f t="shared" si="1"/>
        <v>Sat</v>
      </c>
      <c r="W4" s="22" t="str">
        <f t="shared" si="1"/>
        <v>Sun</v>
      </c>
      <c r="X4" s="266"/>
      <c r="Y4" s="266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1" si="2">E5</f>
        <v>80</v>
      </c>
      <c r="E5" s="29">
        <f t="shared" ref="E5:E11" si="3">Y5*8</f>
        <v>80</v>
      </c>
      <c r="F5" s="29">
        <f t="shared" ref="F5:F11" si="4">G5+H5</f>
        <v>80</v>
      </c>
      <c r="G5" s="29">
        <f t="shared" ref="G5:G11" si="5">SUM(I5:W5)</f>
        <v>80</v>
      </c>
      <c r="H5" s="30">
        <v>0</v>
      </c>
      <c r="I5" s="33"/>
      <c r="J5" s="32">
        <v>8</v>
      </c>
      <c r="K5" s="32">
        <v>8</v>
      </c>
      <c r="L5" s="32">
        <v>8</v>
      </c>
      <c r="M5" s="32">
        <v>8</v>
      </c>
      <c r="N5" s="32">
        <v>8</v>
      </c>
      <c r="O5" s="33"/>
      <c r="P5" s="33"/>
      <c r="Q5" s="32">
        <v>8</v>
      </c>
      <c r="R5" s="32">
        <v>8</v>
      </c>
      <c r="S5" s="32">
        <v>8</v>
      </c>
      <c r="T5" s="32">
        <v>8</v>
      </c>
      <c r="U5" s="32">
        <v>8</v>
      </c>
      <c r="V5" s="33"/>
      <c r="W5" s="33"/>
      <c r="X5" s="29">
        <f t="shared" ref="X5:X6" si="6">Y5-COUNTA(I5:W5)</f>
        <v>0</v>
      </c>
      <c r="Y5" s="34">
        <f t="shared" ref="Y5:Y11" si="7">NETWORKDAYS($I$3,$W$3)</f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40</v>
      </c>
      <c r="G6" s="29">
        <f t="shared" si="5"/>
        <v>40</v>
      </c>
      <c r="H6" s="30">
        <v>0</v>
      </c>
      <c r="I6" s="33"/>
      <c r="J6" s="32">
        <v>4</v>
      </c>
      <c r="K6" s="32">
        <v>4</v>
      </c>
      <c r="L6" s="32">
        <v>4</v>
      </c>
      <c r="M6" s="32">
        <v>4</v>
      </c>
      <c r="N6" s="32">
        <v>4</v>
      </c>
      <c r="O6" s="33"/>
      <c r="P6" s="33"/>
      <c r="Q6" s="32">
        <v>4</v>
      </c>
      <c r="R6" s="32">
        <v>4</v>
      </c>
      <c r="S6" s="32">
        <v>4</v>
      </c>
      <c r="T6" s="32">
        <v>4</v>
      </c>
      <c r="U6" s="32">
        <v>4</v>
      </c>
      <c r="V6" s="33"/>
      <c r="W6" s="33"/>
      <c r="X6" s="29">
        <f t="shared" si="6"/>
        <v>0</v>
      </c>
      <c r="Y6" s="34">
        <f t="shared" si="7"/>
        <v>10</v>
      </c>
      <c r="Z6" s="13"/>
      <c r="AA6" s="102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48</v>
      </c>
      <c r="G7" s="29">
        <f t="shared" si="5"/>
        <v>48</v>
      </c>
      <c r="H7" s="30">
        <v>0</v>
      </c>
      <c r="I7" s="33"/>
      <c r="J7" s="197"/>
      <c r="K7" s="197"/>
      <c r="L7" s="197"/>
      <c r="M7" s="197"/>
      <c r="N7" s="32">
        <v>8</v>
      </c>
      <c r="O7" s="33"/>
      <c r="P7" s="33"/>
      <c r="Q7" s="32">
        <v>8</v>
      </c>
      <c r="R7" s="32">
        <v>8</v>
      </c>
      <c r="S7" s="32">
        <v>8</v>
      </c>
      <c r="T7" s="32">
        <v>8</v>
      </c>
      <c r="U7" s="32">
        <v>8</v>
      </c>
      <c r="V7" s="33"/>
      <c r="W7" s="33"/>
      <c r="X7" s="29">
        <v>4</v>
      </c>
      <c r="Y7" s="34">
        <f t="shared" si="7"/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3"/>
      <c r="J8" s="32">
        <v>8</v>
      </c>
      <c r="K8" s="32">
        <v>8</v>
      </c>
      <c r="L8" s="32">
        <v>8</v>
      </c>
      <c r="M8" s="32">
        <v>8</v>
      </c>
      <c r="N8" s="32">
        <v>8</v>
      </c>
      <c r="O8" s="33"/>
      <c r="P8" s="33"/>
      <c r="Q8" s="32">
        <v>8</v>
      </c>
      <c r="R8" s="32">
        <v>8</v>
      </c>
      <c r="S8" s="32">
        <v>8</v>
      </c>
      <c r="T8" s="32">
        <v>8</v>
      </c>
      <c r="U8" s="32">
        <v>8</v>
      </c>
      <c r="V8" s="33"/>
      <c r="W8" s="33"/>
      <c r="X8" s="29">
        <f t="shared" ref="X8:X15" si="8">Y8-COUNTA(I8:W8)</f>
        <v>0</v>
      </c>
      <c r="Y8" s="34">
        <f t="shared" si="7"/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3"/>
      <c r="J9" s="32">
        <v>8</v>
      </c>
      <c r="K9" s="32">
        <v>8</v>
      </c>
      <c r="L9" s="32">
        <v>8</v>
      </c>
      <c r="M9" s="32">
        <v>8</v>
      </c>
      <c r="N9" s="32">
        <v>8</v>
      </c>
      <c r="O9" s="33"/>
      <c r="P9" s="33"/>
      <c r="Q9" s="32">
        <v>8</v>
      </c>
      <c r="R9" s="32">
        <v>8</v>
      </c>
      <c r="S9" s="32">
        <v>8</v>
      </c>
      <c r="T9" s="32">
        <v>8</v>
      </c>
      <c r="U9" s="32">
        <v>8</v>
      </c>
      <c r="V9" s="33"/>
      <c r="W9" s="33"/>
      <c r="X9" s="29">
        <f t="shared" si="8"/>
        <v>0</v>
      </c>
      <c r="Y9" s="34">
        <f t="shared" si="7"/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80</v>
      </c>
      <c r="G10" s="29">
        <f t="shared" si="5"/>
        <v>80</v>
      </c>
      <c r="H10" s="30">
        <v>0</v>
      </c>
      <c r="I10" s="33"/>
      <c r="J10" s="32">
        <v>8</v>
      </c>
      <c r="K10" s="32">
        <v>8</v>
      </c>
      <c r="L10" s="32">
        <v>8</v>
      </c>
      <c r="M10" s="32">
        <v>8</v>
      </c>
      <c r="N10" s="32">
        <v>8</v>
      </c>
      <c r="O10" s="33"/>
      <c r="P10" s="33"/>
      <c r="Q10" s="32">
        <v>8</v>
      </c>
      <c r="R10" s="32">
        <v>8</v>
      </c>
      <c r="S10" s="32">
        <v>8</v>
      </c>
      <c r="T10" s="198">
        <v>8</v>
      </c>
      <c r="U10" s="32">
        <v>8</v>
      </c>
      <c r="V10" s="33"/>
      <c r="W10" s="33"/>
      <c r="X10" s="29">
        <f t="shared" si="8"/>
        <v>0</v>
      </c>
      <c r="Y10" s="34">
        <f t="shared" si="7"/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customHeight="1">
      <c r="A11" s="40" t="s">
        <v>21</v>
      </c>
      <c r="B11" s="41" t="s">
        <v>14</v>
      </c>
      <c r="C11" s="39">
        <v>45628</v>
      </c>
      <c r="D11" s="29">
        <f t="shared" si="2"/>
        <v>80</v>
      </c>
      <c r="E11" s="29">
        <f t="shared" si="3"/>
        <v>80</v>
      </c>
      <c r="F11" s="29">
        <f t="shared" si="4"/>
        <v>36</v>
      </c>
      <c r="G11" s="29">
        <f t="shared" si="5"/>
        <v>36</v>
      </c>
      <c r="H11" s="30">
        <v>0</v>
      </c>
      <c r="I11" s="33"/>
      <c r="J11" s="32">
        <v>4</v>
      </c>
      <c r="K11" s="32">
        <v>4</v>
      </c>
      <c r="L11" s="32">
        <v>4</v>
      </c>
      <c r="M11" s="32">
        <v>4</v>
      </c>
      <c r="N11" s="32">
        <v>4</v>
      </c>
      <c r="O11" s="33"/>
      <c r="P11" s="33"/>
      <c r="Q11" s="32">
        <v>4</v>
      </c>
      <c r="R11" s="32">
        <v>4</v>
      </c>
      <c r="S11" s="103">
        <v>4</v>
      </c>
      <c r="T11" s="197"/>
      <c r="U11" s="43">
        <v>4</v>
      </c>
      <c r="V11" s="33"/>
      <c r="W11" s="33"/>
      <c r="X11" s="29">
        <f t="shared" si="8"/>
        <v>1</v>
      </c>
      <c r="Y11" s="34">
        <f t="shared" si="7"/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104"/>
      <c r="U12" s="41"/>
      <c r="V12" s="41"/>
      <c r="W12" s="41"/>
      <c r="X12" s="29">
        <f t="shared" si="8"/>
        <v>10</v>
      </c>
      <c r="Y12" s="30">
        <f t="shared" ref="Y12:Y15" si="9">NETWORKDAYS($I$3,$W$3,$W$3)</f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8"/>
        <v>10</v>
      </c>
      <c r="Y13" s="30">
        <f t="shared" si="9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8"/>
        <v>10</v>
      </c>
      <c r="Y14" s="30">
        <f t="shared" si="9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8"/>
        <v>10</v>
      </c>
      <c r="Y15" s="30">
        <f t="shared" si="9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10">SUM(D5:D15)</f>
        <v>560</v>
      </c>
      <c r="E16" s="194">
        <f t="shared" si="10"/>
        <v>560</v>
      </c>
      <c r="F16" s="194">
        <f t="shared" si="10"/>
        <v>444</v>
      </c>
      <c r="G16" s="194">
        <f t="shared" si="10"/>
        <v>444</v>
      </c>
      <c r="H16" s="194">
        <f t="shared" si="10"/>
        <v>0</v>
      </c>
      <c r="I16" s="194">
        <f t="shared" si="10"/>
        <v>0</v>
      </c>
      <c r="J16" s="194">
        <f t="shared" si="10"/>
        <v>40</v>
      </c>
      <c r="K16" s="194">
        <f t="shared" si="10"/>
        <v>40</v>
      </c>
      <c r="L16" s="194">
        <f t="shared" si="10"/>
        <v>40</v>
      </c>
      <c r="M16" s="194">
        <f t="shared" si="10"/>
        <v>40</v>
      </c>
      <c r="N16" s="194">
        <f t="shared" si="10"/>
        <v>48</v>
      </c>
      <c r="O16" s="194">
        <f t="shared" si="10"/>
        <v>0</v>
      </c>
      <c r="P16" s="194">
        <f t="shared" si="10"/>
        <v>0</v>
      </c>
      <c r="Q16" s="194">
        <f t="shared" si="10"/>
        <v>48</v>
      </c>
      <c r="R16" s="194">
        <f t="shared" si="10"/>
        <v>48</v>
      </c>
      <c r="S16" s="194">
        <f t="shared" si="10"/>
        <v>48</v>
      </c>
      <c r="T16" s="194">
        <f t="shared" si="10"/>
        <v>44</v>
      </c>
      <c r="U16" s="194">
        <f t="shared" si="10"/>
        <v>48</v>
      </c>
      <c r="V16" s="194">
        <f t="shared" si="10"/>
        <v>0</v>
      </c>
      <c r="W16" s="194">
        <f t="shared" si="10"/>
        <v>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5" t="s">
        <v>1</v>
      </c>
      <c r="B19" s="265" t="s">
        <v>2</v>
      </c>
      <c r="C19" s="265" t="s">
        <v>3</v>
      </c>
      <c r="D19" s="265" t="s">
        <v>4</v>
      </c>
      <c r="E19" s="270" t="s">
        <v>5</v>
      </c>
      <c r="F19" s="271"/>
      <c r="G19" s="271"/>
      <c r="H19" s="272"/>
      <c r="I19" s="44">
        <f>W3+1</f>
        <v>45642</v>
      </c>
      <c r="J19" s="44">
        <f t="shared" ref="J19:X19" si="11">I19+1</f>
        <v>45643</v>
      </c>
      <c r="K19" s="44">
        <f t="shared" si="11"/>
        <v>45644</v>
      </c>
      <c r="L19" s="14">
        <f t="shared" si="11"/>
        <v>45645</v>
      </c>
      <c r="M19" s="44">
        <f t="shared" si="11"/>
        <v>45646</v>
      </c>
      <c r="N19" s="44">
        <f t="shared" si="11"/>
        <v>45647</v>
      </c>
      <c r="O19" s="44">
        <f t="shared" si="11"/>
        <v>45648</v>
      </c>
      <c r="P19" s="44">
        <f t="shared" si="11"/>
        <v>45649</v>
      </c>
      <c r="Q19" s="44">
        <f t="shared" si="11"/>
        <v>45650</v>
      </c>
      <c r="R19" s="44">
        <f t="shared" si="11"/>
        <v>45651</v>
      </c>
      <c r="S19" s="44">
        <f t="shared" si="11"/>
        <v>45652</v>
      </c>
      <c r="T19" s="44">
        <f t="shared" si="11"/>
        <v>45653</v>
      </c>
      <c r="U19" s="44">
        <f t="shared" si="11"/>
        <v>45654</v>
      </c>
      <c r="V19" s="44">
        <f t="shared" si="11"/>
        <v>45655</v>
      </c>
      <c r="W19" s="44">
        <f t="shared" si="11"/>
        <v>45656</v>
      </c>
      <c r="X19" s="44">
        <f t="shared" si="11"/>
        <v>45657</v>
      </c>
      <c r="Y19" s="265" t="s">
        <v>6</v>
      </c>
      <c r="Z19" s="265" t="s">
        <v>7</v>
      </c>
      <c r="AA19" s="13"/>
      <c r="AB19" s="15"/>
    </row>
    <row r="20" spans="1:35" ht="26.25" customHeight="1">
      <c r="A20" s="266"/>
      <c r="B20" s="266"/>
      <c r="C20" s="266"/>
      <c r="D20" s="266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2">IF(I19="","",TEXT(WEEKDAY(I19), "ddd"))</f>
        <v>Mon</v>
      </c>
      <c r="J20" s="22" t="str">
        <f t="shared" si="12"/>
        <v>Tue</v>
      </c>
      <c r="K20" s="22" t="str">
        <f t="shared" si="12"/>
        <v>Wed</v>
      </c>
      <c r="L20" s="22" t="str">
        <f t="shared" si="12"/>
        <v>Thu</v>
      </c>
      <c r="M20" s="22" t="str">
        <f t="shared" si="12"/>
        <v>Fri</v>
      </c>
      <c r="N20" s="22" t="str">
        <f t="shared" si="12"/>
        <v>Sat</v>
      </c>
      <c r="O20" s="22" t="str">
        <f t="shared" si="12"/>
        <v>Sun</v>
      </c>
      <c r="P20" s="21" t="str">
        <f t="shared" si="12"/>
        <v>Mon</v>
      </c>
      <c r="Q20" s="21" t="str">
        <f t="shared" si="12"/>
        <v>Tue</v>
      </c>
      <c r="R20" s="22" t="str">
        <f t="shared" si="12"/>
        <v>Wed</v>
      </c>
      <c r="S20" s="22" t="str">
        <f t="shared" si="12"/>
        <v>Thu</v>
      </c>
      <c r="T20" s="22" t="str">
        <f t="shared" si="12"/>
        <v>Fri</v>
      </c>
      <c r="U20" s="22" t="str">
        <f t="shared" si="12"/>
        <v>Sat</v>
      </c>
      <c r="V20" s="22" t="str">
        <f t="shared" si="12"/>
        <v>Sun</v>
      </c>
      <c r="W20" s="22" t="str">
        <f t="shared" si="12"/>
        <v>Mon</v>
      </c>
      <c r="X20" s="22" t="str">
        <f t="shared" si="12"/>
        <v>Tue</v>
      </c>
      <c r="Y20" s="266"/>
      <c r="Z20" s="266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7" si="13">E21</f>
        <v>88</v>
      </c>
      <c r="E21" s="29">
        <f t="shared" ref="E21:E27" si="14">Z21*8</f>
        <v>88</v>
      </c>
      <c r="F21" s="29">
        <f t="shared" ref="F21:F27" si="15">G21+H21</f>
        <v>64</v>
      </c>
      <c r="G21" s="29">
        <f t="shared" ref="G21:G27" si="16">SUM(I21:X21)</f>
        <v>64</v>
      </c>
      <c r="H21" s="30">
        <v>0</v>
      </c>
      <c r="I21" s="32">
        <v>8</v>
      </c>
      <c r="J21" s="32">
        <v>8</v>
      </c>
      <c r="K21" s="32">
        <v>8</v>
      </c>
      <c r="L21" s="38"/>
      <c r="M21" s="38"/>
      <c r="N21" s="33"/>
      <c r="O21" s="33"/>
      <c r="P21" s="32">
        <v>8</v>
      </c>
      <c r="Q21" s="38"/>
      <c r="R21" s="31"/>
      <c r="S21" s="32">
        <v>8</v>
      </c>
      <c r="T21" s="32">
        <v>8</v>
      </c>
      <c r="U21" s="33"/>
      <c r="V21" s="100"/>
      <c r="W21" s="32">
        <v>8</v>
      </c>
      <c r="X21" s="32">
        <v>8</v>
      </c>
      <c r="Y21" s="29">
        <f t="shared" ref="Y21:Y25" si="17">Z21-COUNTA(I21:X21)</f>
        <v>3</v>
      </c>
      <c r="Z21" s="34">
        <f t="shared" ref="Z21:Z27" si="18">NETWORKDAYS($I$19,$X$19,$R$19)</f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3"/>
        <v>88</v>
      </c>
      <c r="E22" s="29">
        <f t="shared" si="14"/>
        <v>88</v>
      </c>
      <c r="F22" s="29">
        <f t="shared" si="15"/>
        <v>20</v>
      </c>
      <c r="G22" s="29">
        <f t="shared" si="16"/>
        <v>20</v>
      </c>
      <c r="H22" s="30">
        <v>0</v>
      </c>
      <c r="I22" s="32">
        <v>4</v>
      </c>
      <c r="J22" s="32">
        <v>4</v>
      </c>
      <c r="K22" s="32">
        <v>4</v>
      </c>
      <c r="L22" s="32">
        <v>4</v>
      </c>
      <c r="M22" s="32">
        <v>4</v>
      </c>
      <c r="N22" s="33"/>
      <c r="O22" s="33"/>
      <c r="P22" s="38"/>
      <c r="Q22" s="38"/>
      <c r="R22" s="31"/>
      <c r="S22" s="38"/>
      <c r="T22" s="38"/>
      <c r="U22" s="33"/>
      <c r="V22" s="100"/>
      <c r="W22" s="38"/>
      <c r="X22" s="38"/>
      <c r="Y22" s="29">
        <f t="shared" si="17"/>
        <v>6</v>
      </c>
      <c r="Z22" s="34">
        <f t="shared" si="18"/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3"/>
        <v>88</v>
      </c>
      <c r="E23" s="29">
        <f t="shared" si="14"/>
        <v>88</v>
      </c>
      <c r="F23" s="29">
        <f t="shared" si="15"/>
        <v>88</v>
      </c>
      <c r="G23" s="29">
        <f t="shared" si="16"/>
        <v>88</v>
      </c>
      <c r="H23" s="30">
        <v>0</v>
      </c>
      <c r="I23" s="32">
        <v>8</v>
      </c>
      <c r="J23" s="32">
        <v>8</v>
      </c>
      <c r="K23" s="32">
        <v>8</v>
      </c>
      <c r="L23" s="32">
        <v>8</v>
      </c>
      <c r="M23" s="32">
        <v>8</v>
      </c>
      <c r="N23" s="33"/>
      <c r="O23" s="33"/>
      <c r="P23" s="32">
        <v>8</v>
      </c>
      <c r="Q23" s="32">
        <v>8</v>
      </c>
      <c r="R23" s="31"/>
      <c r="S23" s="32">
        <v>8</v>
      </c>
      <c r="T23" s="32">
        <v>8</v>
      </c>
      <c r="U23" s="33"/>
      <c r="V23" s="100"/>
      <c r="W23" s="32">
        <v>8</v>
      </c>
      <c r="X23" s="32">
        <v>8</v>
      </c>
      <c r="Y23" s="29">
        <f t="shared" si="17"/>
        <v>0</v>
      </c>
      <c r="Z23" s="34">
        <f t="shared" si="18"/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3"/>
        <v>88</v>
      </c>
      <c r="E24" s="29">
        <f t="shared" si="14"/>
        <v>88</v>
      </c>
      <c r="F24" s="29">
        <f t="shared" si="15"/>
        <v>88</v>
      </c>
      <c r="G24" s="29">
        <f t="shared" si="16"/>
        <v>88</v>
      </c>
      <c r="H24" s="30">
        <v>0</v>
      </c>
      <c r="I24" s="32">
        <v>8</v>
      </c>
      <c r="J24" s="32">
        <v>8</v>
      </c>
      <c r="K24" s="32">
        <v>8</v>
      </c>
      <c r="L24" s="32">
        <v>8</v>
      </c>
      <c r="M24" s="32">
        <v>8</v>
      </c>
      <c r="N24" s="33"/>
      <c r="O24" s="33"/>
      <c r="P24" s="32">
        <v>8</v>
      </c>
      <c r="Q24" s="32">
        <v>8</v>
      </c>
      <c r="R24" s="31"/>
      <c r="S24" s="32">
        <v>8</v>
      </c>
      <c r="T24" s="32">
        <v>8</v>
      </c>
      <c r="U24" s="33"/>
      <c r="V24" s="100"/>
      <c r="W24" s="32">
        <v>8</v>
      </c>
      <c r="X24" s="32">
        <v>8</v>
      </c>
      <c r="Y24" s="29">
        <f t="shared" si="17"/>
        <v>0</v>
      </c>
      <c r="Z24" s="34">
        <f t="shared" si="18"/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3"/>
        <v>88</v>
      </c>
      <c r="E25" s="29">
        <f t="shared" si="14"/>
        <v>88</v>
      </c>
      <c r="F25" s="29">
        <f t="shared" si="15"/>
        <v>64</v>
      </c>
      <c r="G25" s="29">
        <f t="shared" si="16"/>
        <v>64</v>
      </c>
      <c r="H25" s="30">
        <v>0</v>
      </c>
      <c r="I25" s="32">
        <v>8</v>
      </c>
      <c r="J25" s="32">
        <v>8</v>
      </c>
      <c r="K25" s="32">
        <v>8</v>
      </c>
      <c r="L25" s="32">
        <v>8</v>
      </c>
      <c r="M25" s="32">
        <v>8</v>
      </c>
      <c r="N25" s="33"/>
      <c r="O25" s="33"/>
      <c r="P25" s="32">
        <v>8</v>
      </c>
      <c r="Q25" s="32">
        <v>8</v>
      </c>
      <c r="R25" s="92"/>
      <c r="S25" s="38"/>
      <c r="T25" s="38"/>
      <c r="U25" s="33"/>
      <c r="V25" s="100"/>
      <c r="W25" s="38"/>
      <c r="X25" s="32">
        <v>8</v>
      </c>
      <c r="Y25" s="29">
        <f t="shared" si="17"/>
        <v>3</v>
      </c>
      <c r="Z25" s="34">
        <f t="shared" si="18"/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3"/>
        <v>88</v>
      </c>
      <c r="E26" s="29">
        <f t="shared" si="14"/>
        <v>88</v>
      </c>
      <c r="F26" s="29">
        <f t="shared" si="15"/>
        <v>64</v>
      </c>
      <c r="G26" s="29">
        <f t="shared" si="16"/>
        <v>64</v>
      </c>
      <c r="H26" s="30">
        <v>0</v>
      </c>
      <c r="I26" s="32">
        <v>8</v>
      </c>
      <c r="J26" s="32">
        <v>8</v>
      </c>
      <c r="K26" s="32">
        <v>8</v>
      </c>
      <c r="L26" s="32">
        <v>8</v>
      </c>
      <c r="M26" s="32">
        <v>8</v>
      </c>
      <c r="N26" s="33"/>
      <c r="O26" s="33"/>
      <c r="P26" s="32">
        <v>8</v>
      </c>
      <c r="Q26" s="32">
        <v>8</v>
      </c>
      <c r="R26" s="31"/>
      <c r="S26" s="32">
        <v>8</v>
      </c>
      <c r="T26" s="38">
        <v>0</v>
      </c>
      <c r="U26" s="33"/>
      <c r="V26" s="33"/>
      <c r="W26" s="38">
        <v>0</v>
      </c>
      <c r="X26" s="38">
        <v>0</v>
      </c>
      <c r="Y26" s="29">
        <v>3</v>
      </c>
      <c r="Z26" s="34">
        <f t="shared" si="18"/>
        <v>11</v>
      </c>
      <c r="AA26" s="13"/>
      <c r="AB26" s="15"/>
    </row>
    <row r="27" spans="1:35" ht="12.75" customHeight="1">
      <c r="A27" s="40" t="s">
        <v>21</v>
      </c>
      <c r="B27" s="41" t="s">
        <v>14</v>
      </c>
      <c r="C27" s="39">
        <v>45628</v>
      </c>
      <c r="D27" s="29">
        <f t="shared" si="13"/>
        <v>88</v>
      </c>
      <c r="E27" s="29">
        <f t="shared" si="14"/>
        <v>88</v>
      </c>
      <c r="F27" s="29">
        <f t="shared" si="15"/>
        <v>36</v>
      </c>
      <c r="G27" s="29">
        <f t="shared" si="16"/>
        <v>36</v>
      </c>
      <c r="H27" s="30">
        <v>0</v>
      </c>
      <c r="I27" s="32">
        <v>4</v>
      </c>
      <c r="J27" s="32">
        <v>4</v>
      </c>
      <c r="K27" s="32">
        <v>4</v>
      </c>
      <c r="L27" s="32">
        <v>4</v>
      </c>
      <c r="M27" s="32">
        <v>4</v>
      </c>
      <c r="N27" s="47"/>
      <c r="O27" s="47"/>
      <c r="P27" s="48">
        <v>4</v>
      </c>
      <c r="Q27" s="48">
        <v>4</v>
      </c>
      <c r="R27" s="92"/>
      <c r="S27" s="48">
        <v>4</v>
      </c>
      <c r="T27" s="48">
        <v>4</v>
      </c>
      <c r="U27" s="47"/>
      <c r="V27" s="47"/>
      <c r="W27" s="38"/>
      <c r="X27" s="38"/>
      <c r="Y27" s="29">
        <f>Z27-COUNTA(I27:X27)</f>
        <v>2</v>
      </c>
      <c r="Z27" s="34">
        <f t="shared" si="18"/>
        <v>11</v>
      </c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9">SUM(D21:D31)</f>
        <v>616</v>
      </c>
      <c r="E32" s="194">
        <f t="shared" si="19"/>
        <v>616</v>
      </c>
      <c r="F32" s="194">
        <f t="shared" si="19"/>
        <v>424</v>
      </c>
      <c r="G32" s="194">
        <f t="shared" si="19"/>
        <v>424</v>
      </c>
      <c r="H32" s="194">
        <f t="shared" si="19"/>
        <v>0</v>
      </c>
      <c r="I32" s="194">
        <f t="shared" si="19"/>
        <v>48</v>
      </c>
      <c r="J32" s="194">
        <f t="shared" si="19"/>
        <v>48</v>
      </c>
      <c r="K32" s="194">
        <f t="shared" si="19"/>
        <v>48</v>
      </c>
      <c r="L32" s="194">
        <f t="shared" si="19"/>
        <v>40</v>
      </c>
      <c r="M32" s="194">
        <f t="shared" si="19"/>
        <v>40</v>
      </c>
      <c r="N32" s="194">
        <f t="shared" si="19"/>
        <v>0</v>
      </c>
      <c r="O32" s="194">
        <f t="shared" si="19"/>
        <v>0</v>
      </c>
      <c r="P32" s="194">
        <f t="shared" si="19"/>
        <v>44</v>
      </c>
      <c r="Q32" s="194">
        <f t="shared" si="19"/>
        <v>36</v>
      </c>
      <c r="R32" s="194">
        <f t="shared" si="19"/>
        <v>0</v>
      </c>
      <c r="S32" s="194">
        <f t="shared" si="19"/>
        <v>36</v>
      </c>
      <c r="T32" s="194">
        <f t="shared" si="19"/>
        <v>28</v>
      </c>
      <c r="U32" s="194">
        <f t="shared" si="19"/>
        <v>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20">F5+F21</f>
        <v>144</v>
      </c>
      <c r="C36" s="60">
        <f t="shared" ref="C36:C42" si="21">E5+E21</f>
        <v>168</v>
      </c>
      <c r="D36" s="61">
        <f t="shared" ref="D36:D42" si="22">B36</f>
        <v>144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20"/>
        <v>60</v>
      </c>
      <c r="C37" s="60">
        <f t="shared" si="21"/>
        <v>168</v>
      </c>
      <c r="D37" s="61">
        <f t="shared" si="22"/>
        <v>60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20"/>
        <v>136</v>
      </c>
      <c r="C38" s="60">
        <f t="shared" si="21"/>
        <v>168</v>
      </c>
      <c r="D38" s="61">
        <f t="shared" si="22"/>
        <v>136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20"/>
        <v>168</v>
      </c>
      <c r="C39" s="60">
        <f t="shared" si="21"/>
        <v>168</v>
      </c>
      <c r="D39" s="61">
        <f t="shared" si="22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20"/>
        <v>144</v>
      </c>
      <c r="C40" s="60">
        <f t="shared" si="21"/>
        <v>168</v>
      </c>
      <c r="D40" s="61">
        <f t="shared" si="22"/>
        <v>144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2" t="s">
        <v>20</v>
      </c>
      <c r="B41" s="59">
        <f t="shared" si="20"/>
        <v>144</v>
      </c>
      <c r="C41" s="60">
        <f t="shared" si="21"/>
        <v>168</v>
      </c>
      <c r="D41" s="61">
        <f t="shared" si="22"/>
        <v>144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customHeight="1">
      <c r="A42" s="69" t="s">
        <v>21</v>
      </c>
      <c r="B42" s="66">
        <f t="shared" ref="B42:B46" si="23">G11+G27</f>
        <v>72</v>
      </c>
      <c r="C42" s="67">
        <f t="shared" si="21"/>
        <v>168</v>
      </c>
      <c r="D42" s="68">
        <f t="shared" si="22"/>
        <v>72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105"/>
      <c r="B43" s="94">
        <f t="shared" si="23"/>
        <v>0</v>
      </c>
      <c r="C43" s="95">
        <f t="shared" ref="C43:D43" si="24">B43</f>
        <v>0</v>
      </c>
      <c r="D43" s="106">
        <f t="shared" si="24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3"/>
        <v>0</v>
      </c>
      <c r="C44" s="60">
        <f t="shared" ref="C44:D44" si="25">B44</f>
        <v>0</v>
      </c>
      <c r="D44" s="61">
        <f t="shared" si="25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3"/>
        <v>0</v>
      </c>
      <c r="C45" s="60">
        <f t="shared" ref="C45:D45" si="26">B45</f>
        <v>0</v>
      </c>
      <c r="D45" s="61">
        <f t="shared" si="26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3"/>
        <v>0</v>
      </c>
      <c r="C46" s="67">
        <f t="shared" ref="C46:D46" si="27">B46</f>
        <v>0</v>
      </c>
      <c r="D46" s="68">
        <f t="shared" si="27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7" t="s">
        <v>0</v>
      </c>
      <c r="B49" s="268"/>
      <c r="C49" s="269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f>NETWORKDAYS($I$3,$W$3)</f>
        <v>10</v>
      </c>
      <c r="C51" s="79">
        <f>B51*8</f>
        <v>80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8">B51-B52</f>
        <v>10</v>
      </c>
      <c r="C53" s="81">
        <f t="shared" si="28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7" t="s">
        <v>22</v>
      </c>
      <c r="B56" s="268"/>
      <c r="C56" s="269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f>NETWORKDAYS($I$19,$X$19)</f>
        <v>12</v>
      </c>
      <c r="C58" s="79">
        <f t="shared" ref="C58:C59" si="29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f>COUNT(R19)</f>
        <v>1</v>
      </c>
      <c r="C59" s="79">
        <f t="shared" si="29"/>
        <v>8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30">B58-B59</f>
        <v>11</v>
      </c>
      <c r="C60" s="81">
        <f t="shared" si="30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  <row r="998" ht="13"/>
    <row r="999" ht="13"/>
    <row r="1000" ht="13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JUNE'25</vt:lpstr>
      <vt:lpstr>SEPTEMBER'25</vt:lpstr>
      <vt:lpstr>OCTOBER'25</vt:lpstr>
      <vt:lpstr>NOVEMBER'25 (2)</vt:lpstr>
      <vt:lpstr>MAY'26</vt:lpstr>
      <vt:lpstr>JAN'26</vt:lpstr>
      <vt:lpstr>FEBRUARY'26</vt:lpstr>
      <vt:lpstr>JANUARY'26</vt:lpstr>
      <vt:lpstr>AUGUST'25</vt:lpstr>
      <vt:lpstr>JULY'25</vt:lpstr>
      <vt:lpstr>APRIL</vt:lpstr>
      <vt:lpstr>MARCH</vt:lpstr>
      <vt:lpstr>JAN'25</vt:lpstr>
      <vt:lpstr>FEB24</vt:lpstr>
      <vt:lpstr>MAR24</vt:lpstr>
      <vt:lpstr>APR24</vt:lpstr>
      <vt:lpstr>MAY24</vt:lpstr>
      <vt:lpstr>JUN24</vt:lpstr>
      <vt:lpstr>JUL24</vt:lpstr>
      <vt:lpstr>AUG24</vt:lpstr>
      <vt:lpstr>SEP24</vt:lpstr>
      <vt:lpstr>OCT24</vt:lpstr>
      <vt:lpstr>NOV24</vt:lpstr>
      <vt:lpstr>DEC24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Prameela Rendeddula</cp:lastModifiedBy>
  <cp:revision/>
  <dcterms:created xsi:type="dcterms:W3CDTF">2025-03-26T11:28:04Z</dcterms:created>
  <dcterms:modified xsi:type="dcterms:W3CDTF">2026-04-23T16:26:38Z</dcterms:modified>
  <cp:category/>
  <cp:contentStatus/>
</cp:coreProperties>
</file>