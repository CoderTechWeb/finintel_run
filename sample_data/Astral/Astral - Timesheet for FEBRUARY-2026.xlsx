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akumar\Desktop\TImesheets\"/>
    </mc:Choice>
  </mc:AlternateContent>
  <xr:revisionPtr revIDLastSave="0" documentId="13_ncr:1_{54A392F0-5EC6-4E6C-BD5C-1B36519FCB40}" xr6:coauthVersionLast="47" xr6:coauthVersionMax="47" xr10:uidLastSave="{00000000-0000-0000-0000-000000000000}"/>
  <bookViews>
    <workbookView xWindow="-110" yWindow="-110" windowWidth="19420" windowHeight="11500" activeTab="4" xr2:uid="{00000000-000D-0000-FFFF-FFFF00000000}"/>
  </bookViews>
  <sheets>
    <sheet name="JUNE'25" sheetId="16" state="hidden" r:id="rId1"/>
    <sheet name="SEPTEMBER'25" sheetId="19" state="hidden" r:id="rId2"/>
    <sheet name="OCTOBER'25" sheetId="20" state="hidden" r:id="rId3"/>
    <sheet name="NOVEMBER'25 (2)" sheetId="21" state="hidden" r:id="rId4"/>
    <sheet name="MARCH'26" sheetId="23" r:id="rId5"/>
    <sheet name="FEBRUARY'26" sheetId="22" state="hidden" r:id="rId6"/>
    <sheet name="JANUARY'26" sheetId="18" state="hidden" r:id="rId7"/>
    <sheet name="AUGUST'25" sheetId="17" state="hidden" r:id="rId8"/>
    <sheet name="JULY'25" sheetId="15" state="hidden" r:id="rId9"/>
    <sheet name="APRIL" sheetId="14" state="hidden" r:id="rId10"/>
    <sheet name="MARCH" sheetId="13" state="hidden" r:id="rId11"/>
    <sheet name="JAN'25" sheetId="1" state="hidden" r:id="rId12"/>
    <sheet name="FEB24" sheetId="2" state="hidden" r:id="rId13"/>
    <sheet name="MAR24" sheetId="3" state="hidden" r:id="rId14"/>
    <sheet name="APR24" sheetId="4" state="hidden" r:id="rId15"/>
    <sheet name="MAY24" sheetId="5" state="hidden" r:id="rId16"/>
    <sheet name="JUN24" sheetId="6" state="hidden" r:id="rId17"/>
    <sheet name="JUL24" sheetId="7" state="hidden" r:id="rId18"/>
    <sheet name="AUG24" sheetId="8" state="hidden" r:id="rId19"/>
    <sheet name="SEP24" sheetId="9" state="hidden" r:id="rId20"/>
    <sheet name="OCT24" sheetId="10" state="hidden" r:id="rId21"/>
    <sheet name="NOV24" sheetId="11" state="hidden" r:id="rId22"/>
    <sheet name="DEC24" sheetId="12" state="hidden" r:id="rId2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23" l="1" a="1"/>
  <c r="F39" i="23"/>
  <c r="F38" i="23" a="1"/>
  <c r="F38" i="23"/>
  <c r="F37" i="23" a="1"/>
  <c r="F37" i="23" s="1"/>
  <c r="F36" i="23" a="1"/>
  <c r="F36" i="23" s="1"/>
  <c r="F35" i="23" a="1"/>
  <c r="F35" i="23" s="1"/>
  <c r="F34" i="23" a="1"/>
  <c r="F34" i="23" s="1"/>
  <c r="B57" i="23"/>
  <c r="C56" i="23"/>
  <c r="C55" i="23"/>
  <c r="B50" i="23"/>
  <c r="C49" i="23"/>
  <c r="C48" i="23"/>
  <c r="C50" i="23" s="1"/>
  <c r="B43" i="23"/>
  <c r="C43" i="23" s="1"/>
  <c r="D43" i="23" s="1"/>
  <c r="B42" i="23"/>
  <c r="C42" i="23" s="1"/>
  <c r="D42" i="23" s="1"/>
  <c r="B41" i="23"/>
  <c r="C41" i="23" s="1"/>
  <c r="D41" i="23" s="1"/>
  <c r="B40" i="23"/>
  <c r="C40" i="23" s="1"/>
  <c r="D40" i="23" s="1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25" i="23"/>
  <c r="F25" i="23" s="1"/>
  <c r="E25" i="23"/>
  <c r="D25" i="23" s="1"/>
  <c r="G24" i="23"/>
  <c r="F24" i="23" s="1"/>
  <c r="E24" i="23"/>
  <c r="D24" i="23" s="1"/>
  <c r="G23" i="23"/>
  <c r="F23" i="23" s="1"/>
  <c r="E23" i="23"/>
  <c r="D23" i="23" s="1"/>
  <c r="G22" i="23"/>
  <c r="F22" i="23" s="1"/>
  <c r="E22" i="23"/>
  <c r="D22" i="23" s="1"/>
  <c r="G21" i="23"/>
  <c r="F21" i="23" s="1"/>
  <c r="E21" i="23"/>
  <c r="D21" i="23" s="1"/>
  <c r="G20" i="23"/>
  <c r="F20" i="23" s="1"/>
  <c r="E20" i="23"/>
  <c r="D20" i="23" s="1"/>
  <c r="W15" i="23"/>
  <c r="V15" i="23"/>
  <c r="U15" i="23"/>
  <c r="T15" i="23"/>
  <c r="S15" i="23"/>
  <c r="R15" i="23"/>
  <c r="Q15" i="23"/>
  <c r="P15" i="23"/>
  <c r="O15" i="23"/>
  <c r="N15" i="23"/>
  <c r="M15" i="23"/>
  <c r="L15" i="23"/>
  <c r="K15" i="23"/>
  <c r="J15" i="23"/>
  <c r="I15" i="23"/>
  <c r="H15" i="23"/>
  <c r="G10" i="23"/>
  <c r="E10" i="23"/>
  <c r="D10" i="23" s="1"/>
  <c r="G9" i="23"/>
  <c r="F9" i="23" s="1"/>
  <c r="E9" i="23"/>
  <c r="D9" i="23" s="1"/>
  <c r="G8" i="23"/>
  <c r="F8" i="23" s="1"/>
  <c r="E8" i="23"/>
  <c r="D8" i="23"/>
  <c r="G7" i="23"/>
  <c r="F7" i="23"/>
  <c r="E7" i="23"/>
  <c r="D7" i="23" s="1"/>
  <c r="G6" i="23"/>
  <c r="F6" i="23" s="1"/>
  <c r="E6" i="23"/>
  <c r="D6" i="23" s="1"/>
  <c r="G5" i="23"/>
  <c r="F5" i="23" s="1"/>
  <c r="E5" i="23"/>
  <c r="D5" i="23" s="1"/>
  <c r="I3" i="23"/>
  <c r="B57" i="22"/>
  <c r="C56" i="22"/>
  <c r="C55" i="22"/>
  <c r="C57" i="22" s="1"/>
  <c r="B50" i="22"/>
  <c r="C49" i="22"/>
  <c r="C48" i="22"/>
  <c r="C50" i="22" s="1"/>
  <c r="C59" i="22" s="1"/>
  <c r="B43" i="22"/>
  <c r="C43" i="22" s="1"/>
  <c r="D43" i="22" s="1"/>
  <c r="B42" i="22"/>
  <c r="C42" i="22" s="1"/>
  <c r="D42" i="22" s="1"/>
  <c r="B41" i="22"/>
  <c r="C41" i="22" s="1"/>
  <c r="D41" i="22" s="1"/>
  <c r="B40" i="22"/>
  <c r="C40" i="22" s="1"/>
  <c r="D40" i="22" s="1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Y25" i="22"/>
  <c r="G25" i="22"/>
  <c r="F25" i="22"/>
  <c r="E25" i="22"/>
  <c r="D25" i="22"/>
  <c r="Y24" i="22"/>
  <c r="G24" i="22"/>
  <c r="F24" i="22"/>
  <c r="E24" i="22"/>
  <c r="D24" i="22"/>
  <c r="Y23" i="22"/>
  <c r="G23" i="22"/>
  <c r="F23" i="22"/>
  <c r="E23" i="22"/>
  <c r="D23" i="22"/>
  <c r="Y22" i="22"/>
  <c r="G22" i="22"/>
  <c r="F22" i="22"/>
  <c r="E22" i="22"/>
  <c r="D22" i="22"/>
  <c r="Y21" i="22"/>
  <c r="G21" i="22"/>
  <c r="F21" i="22"/>
  <c r="E21" i="22"/>
  <c r="D21" i="22"/>
  <c r="Y20" i="22"/>
  <c r="G20" i="22"/>
  <c r="G30" i="22" s="1"/>
  <c r="F20" i="22"/>
  <c r="F30" i="22" s="1"/>
  <c r="E20" i="22"/>
  <c r="E30" i="22" s="1"/>
  <c r="D20" i="22"/>
  <c r="D30" i="22" s="1"/>
  <c r="W15" i="22"/>
  <c r="V15" i="22"/>
  <c r="U15" i="22"/>
  <c r="T15" i="22"/>
  <c r="S15" i="22"/>
  <c r="R15" i="22"/>
  <c r="Q15" i="22"/>
  <c r="P15" i="22"/>
  <c r="O15" i="22"/>
  <c r="N15" i="22"/>
  <c r="M15" i="22"/>
  <c r="L15" i="22"/>
  <c r="K15" i="22"/>
  <c r="J15" i="22"/>
  <c r="I15" i="22"/>
  <c r="H15" i="22"/>
  <c r="X10" i="22"/>
  <c r="G10" i="22"/>
  <c r="B39" i="22" s="1"/>
  <c r="D39" i="22" s="1"/>
  <c r="F10" i="22"/>
  <c r="E10" i="22"/>
  <c r="C39" i="22" s="1"/>
  <c r="D10" i="22"/>
  <c r="X9" i="22"/>
  <c r="G9" i="22"/>
  <c r="F9" i="22"/>
  <c r="B38" i="22" s="1"/>
  <c r="D38" i="22" s="1"/>
  <c r="E9" i="22"/>
  <c r="C38" i="22" s="1"/>
  <c r="D9" i="22"/>
  <c r="X8" i="22"/>
  <c r="G8" i="22"/>
  <c r="F8" i="22"/>
  <c r="B37" i="22" s="1"/>
  <c r="D37" i="22" s="1"/>
  <c r="E8" i="22"/>
  <c r="C37" i="22" s="1"/>
  <c r="D8" i="22"/>
  <c r="X7" i="22"/>
  <c r="G7" i="22"/>
  <c r="F7" i="22"/>
  <c r="B36" i="22" s="1"/>
  <c r="D36" i="22" s="1"/>
  <c r="E7" i="22"/>
  <c r="C36" i="22" s="1"/>
  <c r="D7" i="22"/>
  <c r="X6" i="22"/>
  <c r="G6" i="22"/>
  <c r="F6" i="22"/>
  <c r="B35" i="22" s="1"/>
  <c r="D35" i="22" s="1"/>
  <c r="E6" i="22"/>
  <c r="C35" i="22" s="1"/>
  <c r="D6" i="22"/>
  <c r="X5" i="22"/>
  <c r="G5" i="22"/>
  <c r="G15" i="22" s="1"/>
  <c r="F5" i="22"/>
  <c r="E5" i="22"/>
  <c r="D5" i="22"/>
  <c r="D15" i="22" s="1"/>
  <c r="I3" i="22"/>
  <c r="G5" i="18"/>
  <c r="B57" i="21"/>
  <c r="C56" i="21"/>
  <c r="C55" i="21"/>
  <c r="C57" i="21" s="1"/>
  <c r="B50" i="21"/>
  <c r="C49" i="21"/>
  <c r="C48" i="21"/>
  <c r="C50" i="21" s="1"/>
  <c r="C59" i="21" s="1"/>
  <c r="B43" i="21"/>
  <c r="C43" i="21" s="1"/>
  <c r="D43" i="21" s="1"/>
  <c r="B42" i="21"/>
  <c r="C42" i="21" s="1"/>
  <c r="D42" i="21" s="1"/>
  <c r="B41" i="21"/>
  <c r="C41" i="21" s="1"/>
  <c r="D41" i="21" s="1"/>
  <c r="B40" i="21"/>
  <c r="C40" i="21" s="1"/>
  <c r="D40" i="21" s="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Y25" i="21"/>
  <c r="G25" i="21"/>
  <c r="F25" i="21"/>
  <c r="E25" i="21"/>
  <c r="D25" i="21"/>
  <c r="Y24" i="21"/>
  <c r="G24" i="21"/>
  <c r="F24" i="21"/>
  <c r="E24" i="21"/>
  <c r="D24" i="21"/>
  <c r="Y23" i="21"/>
  <c r="G23" i="21"/>
  <c r="F23" i="21"/>
  <c r="E23" i="21"/>
  <c r="D23" i="21"/>
  <c r="Y22" i="21"/>
  <c r="G22" i="21"/>
  <c r="F22" i="21"/>
  <c r="E22" i="21"/>
  <c r="D22" i="21"/>
  <c r="Y21" i="21"/>
  <c r="G21" i="21"/>
  <c r="F21" i="21"/>
  <c r="E21" i="21"/>
  <c r="D21" i="21"/>
  <c r="Y20" i="21"/>
  <c r="G20" i="21"/>
  <c r="G30" i="21" s="1"/>
  <c r="F20" i="21"/>
  <c r="F30" i="21" s="1"/>
  <c r="E20" i="21"/>
  <c r="E30" i="21" s="1"/>
  <c r="D20" i="21"/>
  <c r="D30" i="21" s="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X10" i="21"/>
  <c r="G10" i="21"/>
  <c r="B39" i="21" s="1"/>
  <c r="D39" i="21" s="1"/>
  <c r="F10" i="21"/>
  <c r="E10" i="21"/>
  <c r="C39" i="21" s="1"/>
  <c r="D10" i="21"/>
  <c r="X9" i="21"/>
  <c r="G9" i="21"/>
  <c r="F9" i="21"/>
  <c r="B38" i="21" s="1"/>
  <c r="D38" i="21" s="1"/>
  <c r="E9" i="21"/>
  <c r="C38" i="21" s="1"/>
  <c r="D9" i="21"/>
  <c r="X8" i="21"/>
  <c r="G8" i="21"/>
  <c r="F8" i="21"/>
  <c r="B37" i="21" s="1"/>
  <c r="D37" i="21" s="1"/>
  <c r="E8" i="21"/>
  <c r="C37" i="21" s="1"/>
  <c r="D8" i="21"/>
  <c r="X7" i="21"/>
  <c r="G7" i="21"/>
  <c r="F7" i="21"/>
  <c r="B36" i="21" s="1"/>
  <c r="D36" i="21" s="1"/>
  <c r="E7" i="21"/>
  <c r="C36" i="21" s="1"/>
  <c r="D7" i="21"/>
  <c r="X6" i="21"/>
  <c r="G6" i="21"/>
  <c r="F6" i="21"/>
  <c r="B35" i="21" s="1"/>
  <c r="D35" i="21" s="1"/>
  <c r="E6" i="21"/>
  <c r="C35" i="21" s="1"/>
  <c r="D6" i="21"/>
  <c r="X5" i="21"/>
  <c r="G5" i="21"/>
  <c r="G15" i="21" s="1"/>
  <c r="F5" i="21"/>
  <c r="E5" i="21"/>
  <c r="D5" i="21"/>
  <c r="D15" i="21" s="1"/>
  <c r="I3" i="21"/>
  <c r="B57" i="20"/>
  <c r="C56" i="20"/>
  <c r="C55" i="20"/>
  <c r="C57" i="20" s="1"/>
  <c r="B50" i="20"/>
  <c r="C49" i="20"/>
  <c r="C48" i="20"/>
  <c r="C50" i="20" s="1"/>
  <c r="C59" i="20" s="1"/>
  <c r="B43" i="20"/>
  <c r="C43" i="20" s="1"/>
  <c r="D43" i="20" s="1"/>
  <c r="B42" i="20"/>
  <c r="C42" i="20" s="1"/>
  <c r="D42" i="20" s="1"/>
  <c r="B41" i="20"/>
  <c r="C41" i="20" s="1"/>
  <c r="D41" i="20" s="1"/>
  <c r="B40" i="20"/>
  <c r="C40" i="20" s="1"/>
  <c r="D40" i="20" s="1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Y25" i="20"/>
  <c r="G25" i="20"/>
  <c r="F25" i="20"/>
  <c r="E25" i="20"/>
  <c r="D25" i="20"/>
  <c r="Y24" i="20"/>
  <c r="G24" i="20"/>
  <c r="F24" i="20"/>
  <c r="E24" i="20"/>
  <c r="D24" i="20"/>
  <c r="Y23" i="20"/>
  <c r="G23" i="20"/>
  <c r="F23" i="20"/>
  <c r="E23" i="20"/>
  <c r="D23" i="20"/>
  <c r="Y22" i="20"/>
  <c r="G22" i="20"/>
  <c r="F22" i="20"/>
  <c r="E22" i="20"/>
  <c r="D22" i="20"/>
  <c r="Y21" i="20"/>
  <c r="G21" i="20"/>
  <c r="F21" i="20"/>
  <c r="E21" i="20"/>
  <c r="D21" i="20"/>
  <c r="Y20" i="20"/>
  <c r="G20" i="20"/>
  <c r="G30" i="20" s="1"/>
  <c r="F20" i="20"/>
  <c r="F30" i="20" s="1"/>
  <c r="E20" i="20"/>
  <c r="E30" i="20" s="1"/>
  <c r="D20" i="20"/>
  <c r="D30" i="20" s="1"/>
  <c r="W15" i="20"/>
  <c r="V15" i="20"/>
  <c r="U15" i="20"/>
  <c r="T15" i="20"/>
  <c r="S15" i="20"/>
  <c r="R15" i="20"/>
  <c r="Q15" i="20"/>
  <c r="P15" i="20"/>
  <c r="O15" i="20"/>
  <c r="N15" i="20"/>
  <c r="M15" i="20"/>
  <c r="L15" i="20"/>
  <c r="K15" i="20"/>
  <c r="J15" i="20"/>
  <c r="I15" i="20"/>
  <c r="H15" i="20"/>
  <c r="X10" i="20"/>
  <c r="G10" i="20"/>
  <c r="B39" i="20" s="1"/>
  <c r="D39" i="20" s="1"/>
  <c r="F10" i="20"/>
  <c r="E10" i="20"/>
  <c r="C39" i="20" s="1"/>
  <c r="D10" i="20"/>
  <c r="X9" i="20"/>
  <c r="G9" i="20"/>
  <c r="F9" i="20"/>
  <c r="B38" i="20" s="1"/>
  <c r="D38" i="20" s="1"/>
  <c r="E9" i="20"/>
  <c r="C38" i="20" s="1"/>
  <c r="D9" i="20"/>
  <c r="X8" i="20"/>
  <c r="G8" i="20"/>
  <c r="F8" i="20"/>
  <c r="B37" i="20" s="1"/>
  <c r="D37" i="20" s="1"/>
  <c r="E8" i="20"/>
  <c r="C37" i="20" s="1"/>
  <c r="D8" i="20"/>
  <c r="X7" i="20"/>
  <c r="G7" i="20"/>
  <c r="F7" i="20"/>
  <c r="B36" i="20" s="1"/>
  <c r="D36" i="20" s="1"/>
  <c r="E7" i="20"/>
  <c r="C36" i="20" s="1"/>
  <c r="D7" i="20"/>
  <c r="X6" i="20"/>
  <c r="G6" i="20"/>
  <c r="F6" i="20"/>
  <c r="B35" i="20" s="1"/>
  <c r="D35" i="20" s="1"/>
  <c r="E6" i="20"/>
  <c r="C35" i="20" s="1"/>
  <c r="D6" i="20"/>
  <c r="X5" i="20"/>
  <c r="G5" i="20"/>
  <c r="G15" i="20" s="1"/>
  <c r="F5" i="20"/>
  <c r="E5" i="20"/>
  <c r="D5" i="20"/>
  <c r="D15" i="20" s="1"/>
  <c r="I3" i="20"/>
  <c r="Y23" i="18"/>
  <c r="X5" i="18"/>
  <c r="B57" i="19"/>
  <c r="C56" i="19"/>
  <c r="C55" i="19"/>
  <c r="C57" i="19" s="1"/>
  <c r="B50" i="19"/>
  <c r="C49" i="19"/>
  <c r="C48" i="19"/>
  <c r="C50" i="19" s="1"/>
  <c r="C59" i="19" s="1"/>
  <c r="B43" i="19"/>
  <c r="C43" i="19" s="1"/>
  <c r="D43" i="19" s="1"/>
  <c r="B42" i="19"/>
  <c r="C42" i="19" s="1"/>
  <c r="D42" i="19" s="1"/>
  <c r="B41" i="19"/>
  <c r="C41" i="19" s="1"/>
  <c r="D41" i="19" s="1"/>
  <c r="B40" i="19"/>
  <c r="C40" i="19" s="1"/>
  <c r="D40" i="19" s="1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Y25" i="19"/>
  <c r="G25" i="19"/>
  <c r="F25" i="19"/>
  <c r="E25" i="19"/>
  <c r="D25" i="19"/>
  <c r="Y24" i="19"/>
  <c r="G24" i="19"/>
  <c r="F24" i="19"/>
  <c r="E24" i="19"/>
  <c r="D24" i="19"/>
  <c r="G23" i="19"/>
  <c r="F23" i="19"/>
  <c r="E23" i="19"/>
  <c r="D23" i="19"/>
  <c r="Y22" i="19"/>
  <c r="G22" i="19"/>
  <c r="F22" i="19"/>
  <c r="E22" i="19"/>
  <c r="D22" i="19"/>
  <c r="Y21" i="19"/>
  <c r="G21" i="19"/>
  <c r="F21" i="19"/>
  <c r="E21" i="19"/>
  <c r="D21" i="19"/>
  <c r="Y20" i="19"/>
  <c r="G20" i="19"/>
  <c r="G30" i="19" s="1"/>
  <c r="F20" i="19"/>
  <c r="F30" i="19" s="1"/>
  <c r="E20" i="19"/>
  <c r="E30" i="19" s="1"/>
  <c r="D20" i="19"/>
  <c r="D30" i="19" s="1"/>
  <c r="X19" i="19"/>
  <c r="W15" i="19"/>
  <c r="V15" i="19"/>
  <c r="U15" i="19"/>
  <c r="T15" i="19"/>
  <c r="S15" i="19"/>
  <c r="R15" i="19"/>
  <c r="Q15" i="19"/>
  <c r="P15" i="19"/>
  <c r="O15" i="19"/>
  <c r="N15" i="19"/>
  <c r="M15" i="19"/>
  <c r="L15" i="19"/>
  <c r="K15" i="19"/>
  <c r="J15" i="19"/>
  <c r="I15" i="19"/>
  <c r="H15" i="19"/>
  <c r="X10" i="19"/>
  <c r="G10" i="19"/>
  <c r="B39" i="19" s="1"/>
  <c r="D39" i="19" s="1"/>
  <c r="F10" i="19"/>
  <c r="E10" i="19"/>
  <c r="C39" i="19" s="1"/>
  <c r="D10" i="19"/>
  <c r="X9" i="19"/>
  <c r="G9" i="19"/>
  <c r="F9" i="19"/>
  <c r="B38" i="19" s="1"/>
  <c r="D38" i="19" s="1"/>
  <c r="E9" i="19"/>
  <c r="C38" i="19" s="1"/>
  <c r="D9" i="19"/>
  <c r="X8" i="19"/>
  <c r="G8" i="19"/>
  <c r="F8" i="19"/>
  <c r="B37" i="19" s="1"/>
  <c r="D37" i="19" s="1"/>
  <c r="E8" i="19"/>
  <c r="C37" i="19" s="1"/>
  <c r="D8" i="19"/>
  <c r="X7" i="19"/>
  <c r="G7" i="19"/>
  <c r="F7" i="19"/>
  <c r="B36" i="19" s="1"/>
  <c r="D36" i="19" s="1"/>
  <c r="E7" i="19"/>
  <c r="C36" i="19" s="1"/>
  <c r="D7" i="19"/>
  <c r="X6" i="19"/>
  <c r="G6" i="19"/>
  <c r="F6" i="19"/>
  <c r="B35" i="19" s="1"/>
  <c r="D35" i="19" s="1"/>
  <c r="E6" i="19"/>
  <c r="C35" i="19" s="1"/>
  <c r="D6" i="19"/>
  <c r="X5" i="19"/>
  <c r="G5" i="19"/>
  <c r="G15" i="19" s="1"/>
  <c r="F5" i="19"/>
  <c r="E5" i="19"/>
  <c r="D5" i="19"/>
  <c r="D15" i="19" s="1"/>
  <c r="I3" i="19"/>
  <c r="B57" i="18"/>
  <c r="C56" i="18"/>
  <c r="C55" i="18"/>
  <c r="C57" i="18" s="1"/>
  <c r="B50" i="18"/>
  <c r="C49" i="18"/>
  <c r="C48" i="18"/>
  <c r="C50" i="18" s="1"/>
  <c r="C59" i="18" s="1"/>
  <c r="B43" i="18"/>
  <c r="C43" i="18" s="1"/>
  <c r="D43" i="18" s="1"/>
  <c r="B42" i="18"/>
  <c r="C42" i="18" s="1"/>
  <c r="D42" i="18" s="1"/>
  <c r="B41" i="18"/>
  <c r="C41" i="18" s="1"/>
  <c r="D41" i="18" s="1"/>
  <c r="B40" i="18"/>
  <c r="C40" i="18" s="1"/>
  <c r="D40" i="18" s="1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Y25" i="18"/>
  <c r="G25" i="18"/>
  <c r="F25" i="18"/>
  <c r="E25" i="18"/>
  <c r="D25" i="18"/>
  <c r="Y24" i="18"/>
  <c r="G24" i="18"/>
  <c r="F24" i="18"/>
  <c r="E24" i="18"/>
  <c r="D24" i="18"/>
  <c r="G23" i="18"/>
  <c r="F23" i="18"/>
  <c r="E23" i="18"/>
  <c r="D23" i="18"/>
  <c r="Y22" i="18"/>
  <c r="G22" i="18"/>
  <c r="F22" i="18"/>
  <c r="E22" i="18"/>
  <c r="D22" i="18"/>
  <c r="Y21" i="18"/>
  <c r="G21" i="18"/>
  <c r="F21" i="18"/>
  <c r="E21" i="18"/>
  <c r="D21" i="18"/>
  <c r="Y20" i="18"/>
  <c r="G20" i="18"/>
  <c r="G30" i="18" s="1"/>
  <c r="F20" i="18"/>
  <c r="F30" i="18" s="1"/>
  <c r="E20" i="18"/>
  <c r="E30" i="18" s="1"/>
  <c r="D20" i="18"/>
  <c r="D30" i="18" s="1"/>
  <c r="W15" i="18"/>
  <c r="V15" i="18"/>
  <c r="U15" i="18"/>
  <c r="T15" i="18"/>
  <c r="S15" i="18"/>
  <c r="R15" i="18"/>
  <c r="Q15" i="18"/>
  <c r="P15" i="18"/>
  <c r="O15" i="18"/>
  <c r="N15" i="18"/>
  <c r="M15" i="18"/>
  <c r="L15" i="18"/>
  <c r="K15" i="18"/>
  <c r="J15" i="18"/>
  <c r="I15" i="18"/>
  <c r="H15" i="18"/>
  <c r="X10" i="18"/>
  <c r="G10" i="18"/>
  <c r="B39" i="18" s="1"/>
  <c r="D39" i="18" s="1"/>
  <c r="F10" i="18"/>
  <c r="E10" i="18"/>
  <c r="C39" i="18" s="1"/>
  <c r="D10" i="18"/>
  <c r="X9" i="18"/>
  <c r="G9" i="18"/>
  <c r="F9" i="18"/>
  <c r="B38" i="18" s="1"/>
  <c r="D38" i="18" s="1"/>
  <c r="E9" i="18"/>
  <c r="C38" i="18" s="1"/>
  <c r="D9" i="18"/>
  <c r="X8" i="18"/>
  <c r="G8" i="18"/>
  <c r="F8" i="18"/>
  <c r="B37" i="18" s="1"/>
  <c r="D37" i="18" s="1"/>
  <c r="E8" i="18"/>
  <c r="C37" i="18" s="1"/>
  <c r="D8" i="18"/>
  <c r="X7" i="18"/>
  <c r="G7" i="18"/>
  <c r="F7" i="18"/>
  <c r="B36" i="18" s="1"/>
  <c r="D36" i="18" s="1"/>
  <c r="E7" i="18"/>
  <c r="C36" i="18" s="1"/>
  <c r="D7" i="18"/>
  <c r="X6" i="18"/>
  <c r="G6" i="18"/>
  <c r="F6" i="18"/>
  <c r="B35" i="18" s="1"/>
  <c r="D35" i="18" s="1"/>
  <c r="E6" i="18"/>
  <c r="C35" i="18" s="1"/>
  <c r="D6" i="18"/>
  <c r="G15" i="18"/>
  <c r="F5" i="18"/>
  <c r="E5" i="18"/>
  <c r="D5" i="18"/>
  <c r="D15" i="18" s="1"/>
  <c r="I3" i="18"/>
  <c r="B57" i="17"/>
  <c r="C56" i="17"/>
  <c r="C55" i="17"/>
  <c r="C57" i="17" s="1"/>
  <c r="B50" i="17"/>
  <c r="C49" i="17"/>
  <c r="C48" i="17"/>
  <c r="C50" i="17" s="1"/>
  <c r="C59" i="17" s="1"/>
  <c r="B43" i="17"/>
  <c r="C43" i="17" s="1"/>
  <c r="D43" i="17" s="1"/>
  <c r="B42" i="17"/>
  <c r="C42" i="17" s="1"/>
  <c r="D42" i="17" s="1"/>
  <c r="B41" i="17"/>
  <c r="C41" i="17" s="1"/>
  <c r="D41" i="17" s="1"/>
  <c r="B40" i="17"/>
  <c r="C40" i="17" s="1"/>
  <c r="D40" i="17" s="1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Y25" i="17"/>
  <c r="G25" i="17"/>
  <c r="F25" i="17"/>
  <c r="E25" i="17"/>
  <c r="D25" i="17"/>
  <c r="Y24" i="17"/>
  <c r="G24" i="17"/>
  <c r="F24" i="17"/>
  <c r="E24" i="17"/>
  <c r="D24" i="17"/>
  <c r="G23" i="17"/>
  <c r="F23" i="17"/>
  <c r="E23" i="17"/>
  <c r="D23" i="17"/>
  <c r="Y22" i="17"/>
  <c r="G22" i="17"/>
  <c r="F22" i="17"/>
  <c r="E22" i="17"/>
  <c r="D22" i="17"/>
  <c r="Y21" i="17"/>
  <c r="G21" i="17"/>
  <c r="F21" i="17"/>
  <c r="E21" i="17"/>
  <c r="D21" i="17"/>
  <c r="Y20" i="17"/>
  <c r="G20" i="17"/>
  <c r="G30" i="17" s="1"/>
  <c r="F20" i="17"/>
  <c r="F30" i="17" s="1"/>
  <c r="E20" i="17"/>
  <c r="E30" i="17" s="1"/>
  <c r="D20" i="17"/>
  <c r="D30" i="17" s="1"/>
  <c r="W15" i="17"/>
  <c r="V15" i="17"/>
  <c r="U15" i="17"/>
  <c r="T15" i="17"/>
  <c r="S15" i="17"/>
  <c r="R15" i="17"/>
  <c r="Q15" i="17"/>
  <c r="P15" i="17"/>
  <c r="O15" i="17"/>
  <c r="N15" i="17"/>
  <c r="M15" i="17"/>
  <c r="L15" i="17"/>
  <c r="K15" i="17"/>
  <c r="J15" i="17"/>
  <c r="I15" i="17"/>
  <c r="H15" i="17"/>
  <c r="X10" i="17"/>
  <c r="G10" i="17"/>
  <c r="B39" i="17" s="1"/>
  <c r="D39" i="17" s="1"/>
  <c r="F10" i="17"/>
  <c r="E10" i="17"/>
  <c r="C39" i="17" s="1"/>
  <c r="D10" i="17"/>
  <c r="X9" i="17"/>
  <c r="G9" i="17"/>
  <c r="F9" i="17"/>
  <c r="B38" i="17" s="1"/>
  <c r="D38" i="17" s="1"/>
  <c r="E9" i="17"/>
  <c r="C38" i="17" s="1"/>
  <c r="D9" i="17"/>
  <c r="X8" i="17"/>
  <c r="G8" i="17"/>
  <c r="F8" i="17"/>
  <c r="B37" i="17" s="1"/>
  <c r="D37" i="17" s="1"/>
  <c r="E8" i="17"/>
  <c r="C37" i="17" s="1"/>
  <c r="D8" i="17"/>
  <c r="X7" i="17"/>
  <c r="G7" i="17"/>
  <c r="F7" i="17"/>
  <c r="B36" i="17" s="1"/>
  <c r="D36" i="17" s="1"/>
  <c r="E7" i="17"/>
  <c r="C36" i="17" s="1"/>
  <c r="D7" i="17"/>
  <c r="X6" i="17"/>
  <c r="G6" i="17"/>
  <c r="F6" i="17"/>
  <c r="B35" i="17" s="1"/>
  <c r="D35" i="17" s="1"/>
  <c r="E6" i="17"/>
  <c r="C35" i="17" s="1"/>
  <c r="D6" i="17"/>
  <c r="X5" i="17"/>
  <c r="G5" i="17"/>
  <c r="G15" i="17" s="1"/>
  <c r="F5" i="17"/>
  <c r="E5" i="17"/>
  <c r="D5" i="17"/>
  <c r="D15" i="17" s="1"/>
  <c r="I3" i="17"/>
  <c r="B57" i="16"/>
  <c r="C56" i="16"/>
  <c r="C55" i="16"/>
  <c r="C57" i="16" s="1"/>
  <c r="B50" i="16"/>
  <c r="C49" i="16"/>
  <c r="C48" i="16"/>
  <c r="C50" i="16" s="1"/>
  <c r="C59" i="16" s="1"/>
  <c r="B43" i="16"/>
  <c r="C43" i="16" s="1"/>
  <c r="D43" i="16" s="1"/>
  <c r="B42" i="16"/>
  <c r="C42" i="16" s="1"/>
  <c r="D42" i="16" s="1"/>
  <c r="B41" i="16"/>
  <c r="C41" i="16" s="1"/>
  <c r="D41" i="16" s="1"/>
  <c r="B40" i="16"/>
  <c r="C40" i="16" s="1"/>
  <c r="D40" i="16" s="1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Y25" i="16"/>
  <c r="G25" i="16"/>
  <c r="F25" i="16"/>
  <c r="E25" i="16"/>
  <c r="D25" i="16"/>
  <c r="Y24" i="16"/>
  <c r="G24" i="16"/>
  <c r="F24" i="16"/>
  <c r="E24" i="16"/>
  <c r="D24" i="16"/>
  <c r="Y23" i="16"/>
  <c r="G23" i="16"/>
  <c r="F23" i="16"/>
  <c r="E23" i="16"/>
  <c r="D23" i="16"/>
  <c r="Y22" i="16"/>
  <c r="G22" i="16"/>
  <c r="F22" i="16"/>
  <c r="E22" i="16"/>
  <c r="D22" i="16"/>
  <c r="Y21" i="16"/>
  <c r="G21" i="16"/>
  <c r="F21" i="16"/>
  <c r="E21" i="16"/>
  <c r="D21" i="16"/>
  <c r="Y20" i="16"/>
  <c r="G20" i="16"/>
  <c r="G30" i="16" s="1"/>
  <c r="F20" i="16"/>
  <c r="F30" i="16" s="1"/>
  <c r="E20" i="16"/>
  <c r="E30" i="16" s="1"/>
  <c r="D20" i="16"/>
  <c r="D30" i="16" s="1"/>
  <c r="W15" i="16"/>
  <c r="V15" i="16"/>
  <c r="U15" i="16"/>
  <c r="T15" i="16"/>
  <c r="S15" i="16"/>
  <c r="R15" i="16"/>
  <c r="Q15" i="16"/>
  <c r="P15" i="16"/>
  <c r="O15" i="16"/>
  <c r="N15" i="16"/>
  <c r="M15" i="16"/>
  <c r="L15" i="16"/>
  <c r="K15" i="16"/>
  <c r="J15" i="16"/>
  <c r="I15" i="16"/>
  <c r="H15" i="16"/>
  <c r="X10" i="16"/>
  <c r="G10" i="16"/>
  <c r="B39" i="16" s="1"/>
  <c r="D39" i="16" s="1"/>
  <c r="F10" i="16"/>
  <c r="E10" i="16"/>
  <c r="C39" i="16" s="1"/>
  <c r="D10" i="16"/>
  <c r="X9" i="16"/>
  <c r="G9" i="16"/>
  <c r="F9" i="16"/>
  <c r="B38" i="16" s="1"/>
  <c r="D38" i="16" s="1"/>
  <c r="E9" i="16"/>
  <c r="C38" i="16" s="1"/>
  <c r="D9" i="16"/>
  <c r="X8" i="16"/>
  <c r="G8" i="16"/>
  <c r="F8" i="16"/>
  <c r="B37" i="16" s="1"/>
  <c r="D37" i="16" s="1"/>
  <c r="E8" i="16"/>
  <c r="C37" i="16" s="1"/>
  <c r="D8" i="16"/>
  <c r="X7" i="16"/>
  <c r="G7" i="16"/>
  <c r="F7" i="16"/>
  <c r="B36" i="16" s="1"/>
  <c r="D36" i="16" s="1"/>
  <c r="E7" i="16"/>
  <c r="C36" i="16" s="1"/>
  <c r="D7" i="16"/>
  <c r="X6" i="16"/>
  <c r="G6" i="16"/>
  <c r="F6" i="16"/>
  <c r="B35" i="16" s="1"/>
  <c r="D35" i="16" s="1"/>
  <c r="E6" i="16"/>
  <c r="C35" i="16" s="1"/>
  <c r="D6" i="16"/>
  <c r="X5" i="16"/>
  <c r="G5" i="16"/>
  <c r="G15" i="16" s="1"/>
  <c r="F5" i="16"/>
  <c r="E5" i="16"/>
  <c r="D5" i="16"/>
  <c r="D15" i="16" s="1"/>
  <c r="I3" i="16"/>
  <c r="B57" i="15"/>
  <c r="C56" i="15"/>
  <c r="C55" i="15"/>
  <c r="C57" i="15" s="1"/>
  <c r="B50" i="15"/>
  <c r="C49" i="15"/>
  <c r="C48" i="15"/>
  <c r="C50" i="15" s="1"/>
  <c r="C59" i="15" s="1"/>
  <c r="B43" i="15"/>
  <c r="C43" i="15" s="1"/>
  <c r="D43" i="15" s="1"/>
  <c r="B42" i="15"/>
  <c r="C42" i="15" s="1"/>
  <c r="D42" i="15" s="1"/>
  <c r="B41" i="15"/>
  <c r="C41" i="15" s="1"/>
  <c r="D41" i="15" s="1"/>
  <c r="B40" i="15"/>
  <c r="C40" i="15" s="1"/>
  <c r="D40" i="15" s="1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Y25" i="15"/>
  <c r="G25" i="15"/>
  <c r="F25" i="15"/>
  <c r="E25" i="15"/>
  <c r="D25" i="15"/>
  <c r="Y24" i="15"/>
  <c r="G24" i="15"/>
  <c r="F24" i="15"/>
  <c r="E24" i="15"/>
  <c r="D24" i="15"/>
  <c r="Y23" i="15"/>
  <c r="G23" i="15"/>
  <c r="F23" i="15"/>
  <c r="E23" i="15"/>
  <c r="D23" i="15"/>
  <c r="Y22" i="15"/>
  <c r="G22" i="15"/>
  <c r="F22" i="15"/>
  <c r="E22" i="15"/>
  <c r="D22" i="15"/>
  <c r="Y21" i="15"/>
  <c r="G21" i="15"/>
  <c r="F21" i="15"/>
  <c r="E21" i="15"/>
  <c r="D21" i="15"/>
  <c r="Y20" i="15"/>
  <c r="G20" i="15"/>
  <c r="G30" i="15" s="1"/>
  <c r="F20" i="15"/>
  <c r="F30" i="15" s="1"/>
  <c r="E20" i="15"/>
  <c r="E30" i="15" s="1"/>
  <c r="D20" i="15"/>
  <c r="D30" i="15" s="1"/>
  <c r="W15" i="15"/>
  <c r="V15" i="15"/>
  <c r="U15" i="15"/>
  <c r="T15" i="15"/>
  <c r="S15" i="15"/>
  <c r="R15" i="15"/>
  <c r="Q15" i="15"/>
  <c r="P15" i="15"/>
  <c r="O15" i="15"/>
  <c r="N15" i="15"/>
  <c r="M15" i="15"/>
  <c r="L15" i="15"/>
  <c r="K15" i="15"/>
  <c r="J15" i="15"/>
  <c r="I15" i="15"/>
  <c r="H15" i="15"/>
  <c r="X10" i="15"/>
  <c r="G10" i="15"/>
  <c r="B39" i="15" s="1"/>
  <c r="D39" i="15" s="1"/>
  <c r="F10" i="15"/>
  <c r="E10" i="15"/>
  <c r="C39" i="15" s="1"/>
  <c r="D10" i="15"/>
  <c r="X9" i="15"/>
  <c r="G9" i="15"/>
  <c r="F9" i="15"/>
  <c r="B38" i="15" s="1"/>
  <c r="D38" i="15" s="1"/>
  <c r="E9" i="15"/>
  <c r="C38" i="15" s="1"/>
  <c r="D9" i="15"/>
  <c r="X8" i="15"/>
  <c r="G8" i="15"/>
  <c r="F8" i="15"/>
  <c r="B37" i="15" s="1"/>
  <c r="D37" i="15" s="1"/>
  <c r="E8" i="15"/>
  <c r="C37" i="15" s="1"/>
  <c r="D8" i="15"/>
  <c r="X7" i="15"/>
  <c r="G7" i="15"/>
  <c r="F7" i="15"/>
  <c r="B36" i="15" s="1"/>
  <c r="D36" i="15" s="1"/>
  <c r="E7" i="15"/>
  <c r="C36" i="15" s="1"/>
  <c r="D7" i="15"/>
  <c r="X6" i="15"/>
  <c r="G6" i="15"/>
  <c r="F6" i="15"/>
  <c r="B35" i="15" s="1"/>
  <c r="D35" i="15" s="1"/>
  <c r="E6" i="15"/>
  <c r="C35" i="15" s="1"/>
  <c r="D6" i="15"/>
  <c r="X5" i="15"/>
  <c r="G5" i="15"/>
  <c r="G15" i="15" s="1"/>
  <c r="F5" i="15"/>
  <c r="E5" i="15"/>
  <c r="D5" i="15"/>
  <c r="D15" i="15" s="1"/>
  <c r="I3" i="15"/>
  <c r="B57" i="14"/>
  <c r="C56" i="14"/>
  <c r="C55" i="14"/>
  <c r="C57" i="14" s="1"/>
  <c r="B50" i="14"/>
  <c r="C49" i="14"/>
  <c r="C48" i="14"/>
  <c r="C50" i="14" s="1"/>
  <c r="C59" i="14" s="1"/>
  <c r="B43" i="14"/>
  <c r="C43" i="14" s="1"/>
  <c r="D43" i="14" s="1"/>
  <c r="B42" i="14"/>
  <c r="C42" i="14" s="1"/>
  <c r="D42" i="14" s="1"/>
  <c r="B41" i="14"/>
  <c r="C41" i="14" s="1"/>
  <c r="D41" i="14" s="1"/>
  <c r="B40" i="14"/>
  <c r="C40" i="14" s="1"/>
  <c r="D40" i="14" s="1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Y25" i="14"/>
  <c r="G25" i="14"/>
  <c r="F25" i="14"/>
  <c r="E25" i="14"/>
  <c r="D25" i="14"/>
  <c r="Y24" i="14"/>
  <c r="G24" i="14"/>
  <c r="F24" i="14"/>
  <c r="E24" i="14"/>
  <c r="D24" i="14"/>
  <c r="Y23" i="14"/>
  <c r="G23" i="14"/>
  <c r="F23" i="14"/>
  <c r="E23" i="14"/>
  <c r="D23" i="14"/>
  <c r="Y22" i="14"/>
  <c r="G22" i="14"/>
  <c r="F22" i="14"/>
  <c r="E22" i="14"/>
  <c r="D22" i="14"/>
  <c r="Y21" i="14"/>
  <c r="G21" i="14"/>
  <c r="F21" i="14"/>
  <c r="E21" i="14"/>
  <c r="D21" i="14"/>
  <c r="Y20" i="14"/>
  <c r="G20" i="14"/>
  <c r="G30" i="14" s="1"/>
  <c r="F20" i="14"/>
  <c r="F30" i="14" s="1"/>
  <c r="E20" i="14"/>
  <c r="E30" i="14" s="1"/>
  <c r="D20" i="14"/>
  <c r="D30" i="14" s="1"/>
  <c r="W15" i="14"/>
  <c r="V15" i="14"/>
  <c r="U15" i="14"/>
  <c r="T15" i="14"/>
  <c r="S15" i="14"/>
  <c r="R15" i="14"/>
  <c r="Q15" i="14"/>
  <c r="P15" i="14"/>
  <c r="O15" i="14"/>
  <c r="N15" i="14"/>
  <c r="M15" i="14"/>
  <c r="L15" i="14"/>
  <c r="K15" i="14"/>
  <c r="J15" i="14"/>
  <c r="I15" i="14"/>
  <c r="H15" i="14"/>
  <c r="X10" i="14"/>
  <c r="G10" i="14"/>
  <c r="B39" i="14" s="1"/>
  <c r="D39" i="14" s="1"/>
  <c r="F10" i="14"/>
  <c r="E10" i="14"/>
  <c r="C39" i="14" s="1"/>
  <c r="D10" i="14"/>
  <c r="X9" i="14"/>
  <c r="G9" i="14"/>
  <c r="F9" i="14"/>
  <c r="B38" i="14" s="1"/>
  <c r="D38" i="14" s="1"/>
  <c r="E9" i="14"/>
  <c r="C38" i="14" s="1"/>
  <c r="D9" i="14"/>
  <c r="X8" i="14"/>
  <c r="G8" i="14"/>
  <c r="F8" i="14"/>
  <c r="B37" i="14" s="1"/>
  <c r="D37" i="14" s="1"/>
  <c r="E8" i="14"/>
  <c r="C37" i="14" s="1"/>
  <c r="D8" i="14"/>
  <c r="X7" i="14"/>
  <c r="G7" i="14"/>
  <c r="F7" i="14"/>
  <c r="B36" i="14" s="1"/>
  <c r="D36" i="14" s="1"/>
  <c r="E7" i="14"/>
  <c r="C36" i="14" s="1"/>
  <c r="D7" i="14"/>
  <c r="X6" i="14"/>
  <c r="G6" i="14"/>
  <c r="F6" i="14"/>
  <c r="B35" i="14" s="1"/>
  <c r="D35" i="14" s="1"/>
  <c r="E6" i="14"/>
  <c r="C35" i="14" s="1"/>
  <c r="D6" i="14"/>
  <c r="X5" i="14"/>
  <c r="G5" i="14"/>
  <c r="G15" i="14" s="1"/>
  <c r="F5" i="14"/>
  <c r="E5" i="14"/>
  <c r="D5" i="14"/>
  <c r="D15" i="14" s="1"/>
  <c r="I3" i="14"/>
  <c r="B57" i="13"/>
  <c r="C56" i="13"/>
  <c r="C55" i="13"/>
  <c r="C57" i="13" s="1"/>
  <c r="B50" i="13"/>
  <c r="C49" i="13"/>
  <c r="C48" i="13"/>
  <c r="C50" i="13" s="1"/>
  <c r="C59" i="13" s="1"/>
  <c r="B43" i="13"/>
  <c r="C43" i="13" s="1"/>
  <c r="D43" i="13" s="1"/>
  <c r="B42" i="13"/>
  <c r="C42" i="13" s="1"/>
  <c r="D42" i="13" s="1"/>
  <c r="B41" i="13"/>
  <c r="C41" i="13" s="1"/>
  <c r="D41" i="13" s="1"/>
  <c r="B40" i="13"/>
  <c r="C40" i="13" s="1"/>
  <c r="D40" i="13" s="1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Y25" i="13"/>
  <c r="G25" i="13"/>
  <c r="F25" i="13"/>
  <c r="E25" i="13"/>
  <c r="D25" i="13"/>
  <c r="Y24" i="13"/>
  <c r="G24" i="13"/>
  <c r="F24" i="13"/>
  <c r="E24" i="13"/>
  <c r="D24" i="13"/>
  <c r="Y23" i="13"/>
  <c r="G23" i="13"/>
  <c r="F23" i="13"/>
  <c r="E23" i="13"/>
  <c r="D23" i="13"/>
  <c r="Y22" i="13"/>
  <c r="G22" i="13"/>
  <c r="F22" i="13"/>
  <c r="E22" i="13"/>
  <c r="D22" i="13"/>
  <c r="Y21" i="13"/>
  <c r="G21" i="13"/>
  <c r="F21" i="13"/>
  <c r="E21" i="13"/>
  <c r="D21" i="13"/>
  <c r="Y20" i="13"/>
  <c r="G20" i="13"/>
  <c r="G30" i="13" s="1"/>
  <c r="F20" i="13"/>
  <c r="F30" i="13" s="1"/>
  <c r="E20" i="13"/>
  <c r="E30" i="13" s="1"/>
  <c r="D20" i="13"/>
  <c r="D30" i="13" s="1"/>
  <c r="W15" i="13"/>
  <c r="V15" i="13"/>
  <c r="U15" i="13"/>
  <c r="T15" i="13"/>
  <c r="S15" i="13"/>
  <c r="R15" i="13"/>
  <c r="Q15" i="13"/>
  <c r="P15" i="13"/>
  <c r="O15" i="13"/>
  <c r="N15" i="13"/>
  <c r="M15" i="13"/>
  <c r="L15" i="13"/>
  <c r="K15" i="13"/>
  <c r="J15" i="13"/>
  <c r="I15" i="13"/>
  <c r="H15" i="13"/>
  <c r="X10" i="13"/>
  <c r="G10" i="13"/>
  <c r="B39" i="13" s="1"/>
  <c r="D39" i="13" s="1"/>
  <c r="F10" i="13"/>
  <c r="E10" i="13"/>
  <c r="C39" i="13" s="1"/>
  <c r="D10" i="13"/>
  <c r="X9" i="13"/>
  <c r="G9" i="13"/>
  <c r="F9" i="13"/>
  <c r="B38" i="13" s="1"/>
  <c r="D38" i="13" s="1"/>
  <c r="E9" i="13"/>
  <c r="C38" i="13" s="1"/>
  <c r="D9" i="13"/>
  <c r="X8" i="13"/>
  <c r="G8" i="13"/>
  <c r="F8" i="13"/>
  <c r="B37" i="13" s="1"/>
  <c r="D37" i="13" s="1"/>
  <c r="E8" i="13"/>
  <c r="C37" i="13" s="1"/>
  <c r="D8" i="13"/>
  <c r="X7" i="13"/>
  <c r="G7" i="13"/>
  <c r="F7" i="13"/>
  <c r="B36" i="13" s="1"/>
  <c r="D36" i="13" s="1"/>
  <c r="E7" i="13"/>
  <c r="C36" i="13" s="1"/>
  <c r="D7" i="13"/>
  <c r="X6" i="13"/>
  <c r="G6" i="13"/>
  <c r="F6" i="13"/>
  <c r="B35" i="13" s="1"/>
  <c r="D35" i="13" s="1"/>
  <c r="E6" i="13"/>
  <c r="C35" i="13" s="1"/>
  <c r="D6" i="13"/>
  <c r="X5" i="13"/>
  <c r="G5" i="13"/>
  <c r="G15" i="13" s="1"/>
  <c r="F5" i="13"/>
  <c r="E5" i="13"/>
  <c r="D5" i="13"/>
  <c r="D15" i="13" s="1"/>
  <c r="I3" i="13"/>
  <c r="C52" i="12"/>
  <c r="B46" i="12"/>
  <c r="C46" i="12" s="1"/>
  <c r="D46" i="12" s="1"/>
  <c r="B45" i="12"/>
  <c r="C45" i="12" s="1"/>
  <c r="D45" i="12" s="1"/>
  <c r="B44" i="12"/>
  <c r="C44" i="12" s="1"/>
  <c r="D44" i="12" s="1"/>
  <c r="B43" i="12"/>
  <c r="C43" i="12" s="1"/>
  <c r="D43" i="12" s="1"/>
  <c r="U32" i="12"/>
  <c r="T32" i="12"/>
  <c r="S32" i="12"/>
  <c r="R32" i="12"/>
  <c r="Q32" i="12"/>
  <c r="P32" i="12"/>
  <c r="O32" i="12"/>
  <c r="N32" i="12"/>
  <c r="M32" i="12"/>
  <c r="L32" i="12"/>
  <c r="K32" i="12"/>
  <c r="J32" i="12"/>
  <c r="I32" i="12"/>
  <c r="H32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G32" i="12" s="1"/>
  <c r="F21" i="12"/>
  <c r="F32" i="12" s="1"/>
  <c r="W16" i="12"/>
  <c r="V16" i="12"/>
  <c r="U16" i="12"/>
  <c r="T16" i="12"/>
  <c r="S16" i="12"/>
  <c r="R16" i="12"/>
  <c r="Q16" i="12"/>
  <c r="P16" i="12"/>
  <c r="O16" i="12"/>
  <c r="N16" i="12"/>
  <c r="M16" i="12"/>
  <c r="L16" i="12"/>
  <c r="K16" i="12"/>
  <c r="J16" i="12"/>
  <c r="I16" i="12"/>
  <c r="H16" i="12"/>
  <c r="G11" i="12"/>
  <c r="B42" i="12" s="1"/>
  <c r="D42" i="12" s="1"/>
  <c r="F11" i="12"/>
  <c r="G10" i="12"/>
  <c r="F10" i="12"/>
  <c r="B41" i="12" s="1"/>
  <c r="D41" i="12" s="1"/>
  <c r="G9" i="12"/>
  <c r="F9" i="12"/>
  <c r="B40" i="12" s="1"/>
  <c r="D40" i="12" s="1"/>
  <c r="G8" i="12"/>
  <c r="F8" i="12"/>
  <c r="B39" i="12" s="1"/>
  <c r="D39" i="12" s="1"/>
  <c r="G7" i="12"/>
  <c r="F7" i="12"/>
  <c r="B38" i="12" s="1"/>
  <c r="D38" i="12" s="1"/>
  <c r="G6" i="12"/>
  <c r="F6" i="12"/>
  <c r="B37" i="12" s="1"/>
  <c r="D37" i="12" s="1"/>
  <c r="G5" i="12"/>
  <c r="G16" i="12" s="1"/>
  <c r="F5" i="12"/>
  <c r="I3" i="12"/>
  <c r="B60" i="11"/>
  <c r="C59" i="11"/>
  <c r="C58" i="11"/>
  <c r="C60" i="11" s="1"/>
  <c r="B53" i="11"/>
  <c r="C52" i="11"/>
  <c r="C51" i="11"/>
  <c r="C53" i="11" s="1"/>
  <c r="C62" i="11" s="1"/>
  <c r="B46" i="11"/>
  <c r="C46" i="11" s="1"/>
  <c r="D46" i="11" s="1"/>
  <c r="B45" i="11"/>
  <c r="C45" i="11" s="1"/>
  <c r="D45" i="11" s="1"/>
  <c r="B44" i="11"/>
  <c r="C44" i="11" s="1"/>
  <c r="D44" i="11" s="1"/>
  <c r="B43" i="11"/>
  <c r="C43" i="11" s="1"/>
  <c r="D43" i="11" s="1"/>
  <c r="B42" i="11"/>
  <c r="C42" i="11" s="1"/>
  <c r="D42" i="11" s="1"/>
  <c r="U32" i="11"/>
  <c r="T32" i="11"/>
  <c r="S32" i="11"/>
  <c r="R32" i="11"/>
  <c r="Q32" i="11"/>
  <c r="P32" i="11"/>
  <c r="O32" i="11"/>
  <c r="N32" i="11"/>
  <c r="M32" i="11"/>
  <c r="L32" i="11"/>
  <c r="K32" i="11"/>
  <c r="J32" i="11"/>
  <c r="I32" i="11"/>
  <c r="H32" i="11"/>
  <c r="Y26" i="11"/>
  <c r="G26" i="11"/>
  <c r="F26" i="11"/>
  <c r="E26" i="11"/>
  <c r="D26" i="11"/>
  <c r="Y25" i="11"/>
  <c r="G25" i="11"/>
  <c r="F25" i="11"/>
  <c r="E25" i="11"/>
  <c r="D25" i="11"/>
  <c r="Y24" i="11"/>
  <c r="G24" i="11"/>
  <c r="F24" i="11"/>
  <c r="E24" i="11"/>
  <c r="D24" i="11"/>
  <c r="Y23" i="11"/>
  <c r="G23" i="11"/>
  <c r="F23" i="11"/>
  <c r="E23" i="11"/>
  <c r="D23" i="11"/>
  <c r="Y22" i="11"/>
  <c r="G22" i="11"/>
  <c r="F22" i="11"/>
  <c r="E22" i="11"/>
  <c r="D22" i="11"/>
  <c r="Y21" i="11"/>
  <c r="G21" i="11"/>
  <c r="G32" i="11" s="1"/>
  <c r="F21" i="11"/>
  <c r="F32" i="11" s="1"/>
  <c r="E21" i="11"/>
  <c r="E32" i="11" s="1"/>
  <c r="D21" i="11"/>
  <c r="D32" i="11" s="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X10" i="11"/>
  <c r="G10" i="11"/>
  <c r="F10" i="11"/>
  <c r="B41" i="11" s="1"/>
  <c r="D41" i="11" s="1"/>
  <c r="E10" i="11"/>
  <c r="C41" i="11" s="1"/>
  <c r="D10" i="11"/>
  <c r="X9" i="11"/>
  <c r="G9" i="11"/>
  <c r="F9" i="11"/>
  <c r="B40" i="11" s="1"/>
  <c r="D40" i="11" s="1"/>
  <c r="E9" i="11"/>
  <c r="C40" i="11" s="1"/>
  <c r="D9" i="11"/>
  <c r="X8" i="11"/>
  <c r="G8" i="11"/>
  <c r="F8" i="11"/>
  <c r="B39" i="11" s="1"/>
  <c r="D39" i="11" s="1"/>
  <c r="E8" i="11"/>
  <c r="C39" i="11" s="1"/>
  <c r="D8" i="11"/>
  <c r="X7" i="11"/>
  <c r="G7" i="11"/>
  <c r="F7" i="11"/>
  <c r="B38" i="11" s="1"/>
  <c r="D38" i="11" s="1"/>
  <c r="E7" i="11"/>
  <c r="C38" i="11" s="1"/>
  <c r="D7" i="11"/>
  <c r="X6" i="11"/>
  <c r="G6" i="11"/>
  <c r="F6" i="11"/>
  <c r="B37" i="11" s="1"/>
  <c r="D37" i="11" s="1"/>
  <c r="E6" i="11"/>
  <c r="C37" i="11" s="1"/>
  <c r="D6" i="11"/>
  <c r="X5" i="11"/>
  <c r="G5" i="11"/>
  <c r="G16" i="11" s="1"/>
  <c r="F5" i="11"/>
  <c r="E5" i="11"/>
  <c r="D5" i="11"/>
  <c r="D16" i="11" s="1"/>
  <c r="I3" i="11"/>
  <c r="B60" i="10"/>
  <c r="C59" i="10"/>
  <c r="C58" i="10"/>
  <c r="C60" i="10" s="1"/>
  <c r="B53" i="10"/>
  <c r="C52" i="10"/>
  <c r="C51" i="10"/>
  <c r="C53" i="10" s="1"/>
  <c r="C62" i="10" s="1"/>
  <c r="B46" i="10"/>
  <c r="C46" i="10" s="1"/>
  <c r="D46" i="10" s="1"/>
  <c r="B45" i="10"/>
  <c r="C45" i="10" s="1"/>
  <c r="D45" i="10" s="1"/>
  <c r="B44" i="10"/>
  <c r="C44" i="10" s="1"/>
  <c r="D44" i="10" s="1"/>
  <c r="B43" i="10"/>
  <c r="C43" i="10" s="1"/>
  <c r="D43" i="10" s="1"/>
  <c r="B42" i="10"/>
  <c r="C42" i="10" s="1"/>
  <c r="D42" i="10" s="1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Y26" i="10"/>
  <c r="G26" i="10"/>
  <c r="F26" i="10"/>
  <c r="E26" i="10"/>
  <c r="D26" i="10"/>
  <c r="Y25" i="10"/>
  <c r="G25" i="10"/>
  <c r="F25" i="10"/>
  <c r="E25" i="10"/>
  <c r="D25" i="10"/>
  <c r="Y24" i="10"/>
  <c r="G24" i="10"/>
  <c r="F24" i="10"/>
  <c r="E24" i="10"/>
  <c r="D24" i="10"/>
  <c r="Y23" i="10"/>
  <c r="G23" i="10"/>
  <c r="F23" i="10"/>
  <c r="E23" i="10"/>
  <c r="D23" i="10"/>
  <c r="Y22" i="10"/>
  <c r="G22" i="10"/>
  <c r="F22" i="10"/>
  <c r="E22" i="10"/>
  <c r="D22" i="10"/>
  <c r="Y21" i="10"/>
  <c r="G21" i="10"/>
  <c r="G32" i="10" s="1"/>
  <c r="F21" i="10"/>
  <c r="F32" i="10" s="1"/>
  <c r="E21" i="10"/>
  <c r="E32" i="10" s="1"/>
  <c r="D21" i="10"/>
  <c r="D32" i="10" s="1"/>
  <c r="W16" i="10"/>
  <c r="V16" i="10"/>
  <c r="U16" i="10"/>
  <c r="T16" i="10"/>
  <c r="S16" i="10"/>
  <c r="R16" i="10"/>
  <c r="Q16" i="10"/>
  <c r="P16" i="10"/>
  <c r="O16" i="10"/>
  <c r="N16" i="10"/>
  <c r="M16" i="10"/>
  <c r="L16" i="10"/>
  <c r="K16" i="10"/>
  <c r="J16" i="10"/>
  <c r="I16" i="10"/>
  <c r="H16" i="10"/>
  <c r="X10" i="10"/>
  <c r="G10" i="10"/>
  <c r="F10" i="10"/>
  <c r="B41" i="10" s="1"/>
  <c r="D41" i="10" s="1"/>
  <c r="E10" i="10"/>
  <c r="C41" i="10" s="1"/>
  <c r="D10" i="10"/>
  <c r="X9" i="10"/>
  <c r="G9" i="10"/>
  <c r="F9" i="10"/>
  <c r="B40" i="10" s="1"/>
  <c r="D40" i="10" s="1"/>
  <c r="E9" i="10"/>
  <c r="C40" i="10" s="1"/>
  <c r="D9" i="10"/>
  <c r="X8" i="10"/>
  <c r="G8" i="10"/>
  <c r="F8" i="10"/>
  <c r="B39" i="10" s="1"/>
  <c r="D39" i="10" s="1"/>
  <c r="E8" i="10"/>
  <c r="C39" i="10" s="1"/>
  <c r="D8" i="10"/>
  <c r="X7" i="10"/>
  <c r="G7" i="10"/>
  <c r="F7" i="10"/>
  <c r="B38" i="10" s="1"/>
  <c r="D38" i="10" s="1"/>
  <c r="E7" i="10"/>
  <c r="C38" i="10" s="1"/>
  <c r="D7" i="10"/>
  <c r="X6" i="10"/>
  <c r="G6" i="10"/>
  <c r="F6" i="10"/>
  <c r="B37" i="10" s="1"/>
  <c r="D37" i="10" s="1"/>
  <c r="E6" i="10"/>
  <c r="C37" i="10" s="1"/>
  <c r="D6" i="10"/>
  <c r="X5" i="10"/>
  <c r="G5" i="10"/>
  <c r="G16" i="10" s="1"/>
  <c r="F5" i="10"/>
  <c r="E5" i="10"/>
  <c r="D5" i="10"/>
  <c r="D16" i="10" s="1"/>
  <c r="I3" i="10"/>
  <c r="B60" i="9"/>
  <c r="C59" i="9"/>
  <c r="C58" i="9"/>
  <c r="C60" i="9" s="1"/>
  <c r="B53" i="9"/>
  <c r="C52" i="9"/>
  <c r="C51" i="9"/>
  <c r="C53" i="9" s="1"/>
  <c r="C62" i="9" s="1"/>
  <c r="B46" i="9"/>
  <c r="C46" i="9" s="1"/>
  <c r="D46" i="9" s="1"/>
  <c r="B45" i="9"/>
  <c r="C45" i="9" s="1"/>
  <c r="D45" i="9" s="1"/>
  <c r="B44" i="9"/>
  <c r="C44" i="9" s="1"/>
  <c r="D44" i="9" s="1"/>
  <c r="B43" i="9"/>
  <c r="C43" i="9" s="1"/>
  <c r="D43" i="9" s="1"/>
  <c r="B42" i="9"/>
  <c r="C42" i="9" s="1"/>
  <c r="D42" i="9" s="1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Y26" i="9"/>
  <c r="G26" i="9"/>
  <c r="F26" i="9"/>
  <c r="E26" i="9"/>
  <c r="D26" i="9"/>
  <c r="Y25" i="9"/>
  <c r="G25" i="9"/>
  <c r="F25" i="9"/>
  <c r="E25" i="9"/>
  <c r="D25" i="9"/>
  <c r="Y24" i="9"/>
  <c r="G24" i="9"/>
  <c r="F24" i="9"/>
  <c r="E24" i="9"/>
  <c r="D24" i="9"/>
  <c r="Y23" i="9"/>
  <c r="G23" i="9"/>
  <c r="F23" i="9"/>
  <c r="E23" i="9"/>
  <c r="D23" i="9"/>
  <c r="Y22" i="9"/>
  <c r="G22" i="9"/>
  <c r="F22" i="9"/>
  <c r="E22" i="9"/>
  <c r="D22" i="9"/>
  <c r="Y21" i="9"/>
  <c r="G21" i="9"/>
  <c r="G32" i="9" s="1"/>
  <c r="F21" i="9"/>
  <c r="F32" i="9" s="1"/>
  <c r="E21" i="9"/>
  <c r="E32" i="9" s="1"/>
  <c r="D21" i="9"/>
  <c r="D32" i="9" s="1"/>
  <c r="X20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X10" i="9"/>
  <c r="G10" i="9"/>
  <c r="F10" i="9"/>
  <c r="B41" i="9" s="1"/>
  <c r="D41" i="9" s="1"/>
  <c r="E10" i="9"/>
  <c r="C41" i="9" s="1"/>
  <c r="D10" i="9"/>
  <c r="X9" i="9"/>
  <c r="G9" i="9"/>
  <c r="F9" i="9"/>
  <c r="B40" i="9" s="1"/>
  <c r="D40" i="9" s="1"/>
  <c r="E9" i="9"/>
  <c r="C40" i="9" s="1"/>
  <c r="D9" i="9"/>
  <c r="X8" i="9"/>
  <c r="G8" i="9"/>
  <c r="F8" i="9"/>
  <c r="B39" i="9" s="1"/>
  <c r="D39" i="9" s="1"/>
  <c r="E8" i="9"/>
  <c r="C39" i="9" s="1"/>
  <c r="D8" i="9"/>
  <c r="X7" i="9"/>
  <c r="G7" i="9"/>
  <c r="F7" i="9"/>
  <c r="B38" i="9" s="1"/>
  <c r="D38" i="9" s="1"/>
  <c r="E7" i="9"/>
  <c r="C38" i="9" s="1"/>
  <c r="D7" i="9"/>
  <c r="X6" i="9"/>
  <c r="G6" i="9"/>
  <c r="F6" i="9"/>
  <c r="B37" i="9" s="1"/>
  <c r="D37" i="9" s="1"/>
  <c r="E6" i="9"/>
  <c r="C37" i="9" s="1"/>
  <c r="D6" i="9"/>
  <c r="X5" i="9"/>
  <c r="G5" i="9"/>
  <c r="G16" i="9" s="1"/>
  <c r="F5" i="9"/>
  <c r="E5" i="9"/>
  <c r="D5" i="9"/>
  <c r="D16" i="9" s="1"/>
  <c r="I3" i="9"/>
  <c r="B60" i="8"/>
  <c r="C59" i="8"/>
  <c r="C58" i="8"/>
  <c r="C60" i="8" s="1"/>
  <c r="B53" i="8"/>
  <c r="C52" i="8"/>
  <c r="C51" i="8"/>
  <c r="C53" i="8" s="1"/>
  <c r="C62" i="8" s="1"/>
  <c r="B46" i="8"/>
  <c r="C46" i="8" s="1"/>
  <c r="D46" i="8" s="1"/>
  <c r="B45" i="8"/>
  <c r="C45" i="8" s="1"/>
  <c r="D45" i="8" s="1"/>
  <c r="B44" i="8"/>
  <c r="C44" i="8" s="1"/>
  <c r="D44" i="8" s="1"/>
  <c r="B43" i="8"/>
  <c r="C43" i="8" s="1"/>
  <c r="D43" i="8" s="1"/>
  <c r="B42" i="8"/>
  <c r="C42" i="8" s="1"/>
  <c r="D42" i="8" s="1"/>
  <c r="U32" i="8"/>
  <c r="T32" i="8"/>
  <c r="S32" i="8"/>
  <c r="R32" i="8"/>
  <c r="Q32" i="8"/>
  <c r="P32" i="8"/>
  <c r="O32" i="8"/>
  <c r="N32" i="8"/>
  <c r="M32" i="8"/>
  <c r="L32" i="8"/>
  <c r="K32" i="8"/>
  <c r="J32" i="8"/>
  <c r="I32" i="8"/>
  <c r="H32" i="8"/>
  <c r="Y26" i="8"/>
  <c r="G26" i="8"/>
  <c r="F26" i="8"/>
  <c r="E26" i="8"/>
  <c r="D26" i="8"/>
  <c r="Y25" i="8"/>
  <c r="G25" i="8"/>
  <c r="F25" i="8"/>
  <c r="E25" i="8"/>
  <c r="D25" i="8"/>
  <c r="Y24" i="8"/>
  <c r="G24" i="8"/>
  <c r="F24" i="8"/>
  <c r="E24" i="8"/>
  <c r="D24" i="8"/>
  <c r="Y23" i="8"/>
  <c r="G23" i="8"/>
  <c r="F23" i="8"/>
  <c r="E23" i="8"/>
  <c r="D23" i="8"/>
  <c r="Y22" i="8"/>
  <c r="G22" i="8"/>
  <c r="F22" i="8"/>
  <c r="E22" i="8"/>
  <c r="D22" i="8"/>
  <c r="Y21" i="8"/>
  <c r="G21" i="8"/>
  <c r="G32" i="8" s="1"/>
  <c r="F21" i="8"/>
  <c r="F32" i="8" s="1"/>
  <c r="E21" i="8"/>
  <c r="E32" i="8" s="1"/>
  <c r="D21" i="8"/>
  <c r="D32" i="8" s="1"/>
  <c r="W16" i="8"/>
  <c r="V16" i="8"/>
  <c r="U16" i="8"/>
  <c r="T16" i="8"/>
  <c r="S16" i="8"/>
  <c r="R16" i="8"/>
  <c r="Q16" i="8"/>
  <c r="P16" i="8"/>
  <c r="O16" i="8"/>
  <c r="N16" i="8"/>
  <c r="M16" i="8"/>
  <c r="L16" i="8"/>
  <c r="K16" i="8"/>
  <c r="J16" i="8"/>
  <c r="I16" i="8"/>
  <c r="H16" i="8"/>
  <c r="X10" i="8"/>
  <c r="G10" i="8"/>
  <c r="F10" i="8"/>
  <c r="B41" i="8" s="1"/>
  <c r="D41" i="8" s="1"/>
  <c r="E10" i="8"/>
  <c r="C41" i="8" s="1"/>
  <c r="D10" i="8"/>
  <c r="X9" i="8"/>
  <c r="G9" i="8"/>
  <c r="F9" i="8"/>
  <c r="B40" i="8" s="1"/>
  <c r="D40" i="8" s="1"/>
  <c r="E9" i="8"/>
  <c r="C40" i="8" s="1"/>
  <c r="D9" i="8"/>
  <c r="X8" i="8"/>
  <c r="G8" i="8"/>
  <c r="F8" i="8"/>
  <c r="B39" i="8" s="1"/>
  <c r="D39" i="8" s="1"/>
  <c r="E8" i="8"/>
  <c r="C39" i="8" s="1"/>
  <c r="D8" i="8"/>
  <c r="X7" i="8"/>
  <c r="G7" i="8"/>
  <c r="F7" i="8"/>
  <c r="B38" i="8" s="1"/>
  <c r="D38" i="8" s="1"/>
  <c r="E7" i="8"/>
  <c r="C38" i="8" s="1"/>
  <c r="D7" i="8"/>
  <c r="X6" i="8"/>
  <c r="G6" i="8"/>
  <c r="F6" i="8"/>
  <c r="B37" i="8" s="1"/>
  <c r="D37" i="8" s="1"/>
  <c r="E6" i="8"/>
  <c r="C37" i="8" s="1"/>
  <c r="D6" i="8"/>
  <c r="X5" i="8"/>
  <c r="G5" i="8"/>
  <c r="G16" i="8" s="1"/>
  <c r="F5" i="8"/>
  <c r="E5" i="8"/>
  <c r="D5" i="8"/>
  <c r="D16" i="8" s="1"/>
  <c r="I3" i="8"/>
  <c r="B60" i="7"/>
  <c r="C59" i="7"/>
  <c r="C58" i="7"/>
  <c r="C60" i="7" s="1"/>
  <c r="B53" i="7"/>
  <c r="C52" i="7"/>
  <c r="C51" i="7"/>
  <c r="C53" i="7" s="1"/>
  <c r="C62" i="7" s="1"/>
  <c r="B46" i="7"/>
  <c r="C46" i="7" s="1"/>
  <c r="D46" i="7" s="1"/>
  <c r="B45" i="7"/>
  <c r="C45" i="7" s="1"/>
  <c r="D45" i="7" s="1"/>
  <c r="B44" i="7"/>
  <c r="C44" i="7" s="1"/>
  <c r="D44" i="7" s="1"/>
  <c r="B43" i="7"/>
  <c r="C43" i="7" s="1"/>
  <c r="D43" i="7" s="1"/>
  <c r="B42" i="7"/>
  <c r="C42" i="7" s="1"/>
  <c r="D42" i="7" s="1"/>
  <c r="U32" i="7"/>
  <c r="T32" i="7"/>
  <c r="S32" i="7"/>
  <c r="R32" i="7"/>
  <c r="Q32" i="7"/>
  <c r="P32" i="7"/>
  <c r="O32" i="7"/>
  <c r="N32" i="7"/>
  <c r="M32" i="7"/>
  <c r="L32" i="7"/>
  <c r="K32" i="7"/>
  <c r="J32" i="7"/>
  <c r="I32" i="7"/>
  <c r="H32" i="7"/>
  <c r="Y26" i="7"/>
  <c r="G26" i="7"/>
  <c r="F26" i="7"/>
  <c r="E26" i="7"/>
  <c r="D26" i="7"/>
  <c r="Y25" i="7"/>
  <c r="G25" i="7"/>
  <c r="F25" i="7"/>
  <c r="E25" i="7"/>
  <c r="D25" i="7"/>
  <c r="Y24" i="7"/>
  <c r="G24" i="7"/>
  <c r="F24" i="7"/>
  <c r="E24" i="7"/>
  <c r="D24" i="7"/>
  <c r="Y23" i="7"/>
  <c r="G23" i="7"/>
  <c r="F23" i="7"/>
  <c r="E23" i="7"/>
  <c r="D23" i="7"/>
  <c r="Y22" i="7"/>
  <c r="G22" i="7"/>
  <c r="F22" i="7"/>
  <c r="E22" i="7"/>
  <c r="D22" i="7"/>
  <c r="Y21" i="7"/>
  <c r="G21" i="7"/>
  <c r="G32" i="7" s="1"/>
  <c r="F21" i="7"/>
  <c r="F32" i="7" s="1"/>
  <c r="E21" i="7"/>
  <c r="E32" i="7" s="1"/>
  <c r="D21" i="7"/>
  <c r="D32" i="7" s="1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X10" i="7"/>
  <c r="G10" i="7"/>
  <c r="F10" i="7"/>
  <c r="B41" i="7" s="1"/>
  <c r="D41" i="7" s="1"/>
  <c r="E10" i="7"/>
  <c r="C41" i="7" s="1"/>
  <c r="D10" i="7"/>
  <c r="X9" i="7"/>
  <c r="G9" i="7"/>
  <c r="F9" i="7"/>
  <c r="B40" i="7" s="1"/>
  <c r="D40" i="7" s="1"/>
  <c r="E9" i="7"/>
  <c r="C40" i="7" s="1"/>
  <c r="D9" i="7"/>
  <c r="X8" i="7"/>
  <c r="G8" i="7"/>
  <c r="F8" i="7"/>
  <c r="B39" i="7" s="1"/>
  <c r="D39" i="7" s="1"/>
  <c r="E8" i="7"/>
  <c r="C39" i="7" s="1"/>
  <c r="D8" i="7"/>
  <c r="X7" i="7"/>
  <c r="G7" i="7"/>
  <c r="F7" i="7"/>
  <c r="B38" i="7" s="1"/>
  <c r="D38" i="7" s="1"/>
  <c r="E7" i="7"/>
  <c r="C38" i="7" s="1"/>
  <c r="D7" i="7"/>
  <c r="X6" i="7"/>
  <c r="G6" i="7"/>
  <c r="F6" i="7"/>
  <c r="B37" i="7" s="1"/>
  <c r="D37" i="7" s="1"/>
  <c r="E6" i="7"/>
  <c r="C37" i="7" s="1"/>
  <c r="D6" i="7"/>
  <c r="X5" i="7"/>
  <c r="G5" i="7"/>
  <c r="G16" i="7" s="1"/>
  <c r="F5" i="7"/>
  <c r="E5" i="7"/>
  <c r="D5" i="7"/>
  <c r="D16" i="7" s="1"/>
  <c r="I3" i="7"/>
  <c r="B60" i="6"/>
  <c r="C59" i="6"/>
  <c r="C58" i="6"/>
  <c r="C60" i="6" s="1"/>
  <c r="B53" i="6"/>
  <c r="C52" i="6"/>
  <c r="C51" i="6"/>
  <c r="C53" i="6" s="1"/>
  <c r="C62" i="6" s="1"/>
  <c r="B46" i="6"/>
  <c r="C46" i="6" s="1"/>
  <c r="D46" i="6" s="1"/>
  <c r="B45" i="6"/>
  <c r="C45" i="6" s="1"/>
  <c r="D45" i="6" s="1"/>
  <c r="B44" i="6"/>
  <c r="C44" i="6" s="1"/>
  <c r="D44" i="6" s="1"/>
  <c r="B43" i="6"/>
  <c r="C43" i="6" s="1"/>
  <c r="D43" i="6" s="1"/>
  <c r="B42" i="6"/>
  <c r="C42" i="6" s="1"/>
  <c r="D42" i="6" s="1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Y26" i="6"/>
  <c r="G26" i="6"/>
  <c r="F26" i="6"/>
  <c r="E26" i="6"/>
  <c r="D26" i="6"/>
  <c r="Y25" i="6"/>
  <c r="G25" i="6"/>
  <c r="F25" i="6"/>
  <c r="E25" i="6"/>
  <c r="D25" i="6"/>
  <c r="Y24" i="6"/>
  <c r="G24" i="6"/>
  <c r="F24" i="6"/>
  <c r="E24" i="6"/>
  <c r="D24" i="6"/>
  <c r="Y23" i="6"/>
  <c r="G23" i="6"/>
  <c r="F23" i="6"/>
  <c r="E23" i="6"/>
  <c r="D23" i="6"/>
  <c r="Y22" i="6"/>
  <c r="G22" i="6"/>
  <c r="F22" i="6"/>
  <c r="E22" i="6"/>
  <c r="D22" i="6"/>
  <c r="Y21" i="6"/>
  <c r="G21" i="6"/>
  <c r="G32" i="6" s="1"/>
  <c r="F21" i="6"/>
  <c r="F32" i="6" s="1"/>
  <c r="E21" i="6"/>
  <c r="E32" i="6" s="1"/>
  <c r="D21" i="6"/>
  <c r="D32" i="6" s="1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H16" i="6"/>
  <c r="X10" i="6"/>
  <c r="G10" i="6"/>
  <c r="F10" i="6"/>
  <c r="B41" i="6" s="1"/>
  <c r="D41" i="6" s="1"/>
  <c r="E10" i="6"/>
  <c r="C41" i="6" s="1"/>
  <c r="D10" i="6"/>
  <c r="X9" i="6"/>
  <c r="G9" i="6"/>
  <c r="F9" i="6"/>
  <c r="B40" i="6" s="1"/>
  <c r="D40" i="6" s="1"/>
  <c r="E9" i="6"/>
  <c r="C40" i="6" s="1"/>
  <c r="D9" i="6"/>
  <c r="X8" i="6"/>
  <c r="G8" i="6"/>
  <c r="F8" i="6"/>
  <c r="B39" i="6" s="1"/>
  <c r="D39" i="6" s="1"/>
  <c r="E8" i="6"/>
  <c r="C39" i="6" s="1"/>
  <c r="D8" i="6"/>
  <c r="X7" i="6"/>
  <c r="G7" i="6"/>
  <c r="F7" i="6"/>
  <c r="B38" i="6" s="1"/>
  <c r="D38" i="6" s="1"/>
  <c r="E7" i="6"/>
  <c r="C38" i="6" s="1"/>
  <c r="D7" i="6"/>
  <c r="X6" i="6"/>
  <c r="G6" i="6"/>
  <c r="F6" i="6"/>
  <c r="B37" i="6" s="1"/>
  <c r="D37" i="6" s="1"/>
  <c r="E6" i="6"/>
  <c r="C37" i="6" s="1"/>
  <c r="D6" i="6"/>
  <c r="X5" i="6"/>
  <c r="G5" i="6"/>
  <c r="G16" i="6" s="1"/>
  <c r="F5" i="6"/>
  <c r="E5" i="6"/>
  <c r="D5" i="6"/>
  <c r="D16" i="6" s="1"/>
  <c r="I3" i="6"/>
  <c r="B60" i="5"/>
  <c r="C59" i="5"/>
  <c r="C58" i="5"/>
  <c r="C60" i="5" s="1"/>
  <c r="B53" i="5"/>
  <c r="C52" i="5"/>
  <c r="C51" i="5"/>
  <c r="C53" i="5" s="1"/>
  <c r="C62" i="5" s="1"/>
  <c r="B46" i="5"/>
  <c r="C46" i="5" s="1"/>
  <c r="D46" i="5" s="1"/>
  <c r="B45" i="5"/>
  <c r="C45" i="5" s="1"/>
  <c r="D45" i="5" s="1"/>
  <c r="B44" i="5"/>
  <c r="C44" i="5" s="1"/>
  <c r="D44" i="5" s="1"/>
  <c r="B43" i="5"/>
  <c r="C43" i="5" s="1"/>
  <c r="D43" i="5" s="1"/>
  <c r="B42" i="5"/>
  <c r="C42" i="5" s="1"/>
  <c r="D42" i="5" s="1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Y26" i="5"/>
  <c r="G26" i="5"/>
  <c r="F26" i="5"/>
  <c r="E26" i="5"/>
  <c r="D26" i="5"/>
  <c r="Y25" i="5"/>
  <c r="G25" i="5"/>
  <c r="F25" i="5"/>
  <c r="E25" i="5"/>
  <c r="D25" i="5"/>
  <c r="Y24" i="5"/>
  <c r="G24" i="5"/>
  <c r="F24" i="5"/>
  <c r="E24" i="5"/>
  <c r="D24" i="5"/>
  <c r="Y23" i="5"/>
  <c r="G23" i="5"/>
  <c r="F23" i="5"/>
  <c r="E23" i="5"/>
  <c r="D23" i="5"/>
  <c r="Y22" i="5"/>
  <c r="G22" i="5"/>
  <c r="F22" i="5"/>
  <c r="E22" i="5"/>
  <c r="D22" i="5"/>
  <c r="Y21" i="5"/>
  <c r="G21" i="5"/>
  <c r="G32" i="5" s="1"/>
  <c r="F21" i="5"/>
  <c r="F32" i="5" s="1"/>
  <c r="E21" i="5"/>
  <c r="E32" i="5" s="1"/>
  <c r="D21" i="5"/>
  <c r="D32" i="5" s="1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X10" i="5"/>
  <c r="G10" i="5"/>
  <c r="F10" i="5"/>
  <c r="B41" i="5" s="1"/>
  <c r="D41" i="5" s="1"/>
  <c r="E10" i="5"/>
  <c r="C41" i="5" s="1"/>
  <c r="D10" i="5"/>
  <c r="X9" i="5"/>
  <c r="G9" i="5"/>
  <c r="F9" i="5"/>
  <c r="B40" i="5" s="1"/>
  <c r="D40" i="5" s="1"/>
  <c r="E9" i="5"/>
  <c r="C40" i="5" s="1"/>
  <c r="D9" i="5"/>
  <c r="X8" i="5"/>
  <c r="G8" i="5"/>
  <c r="F8" i="5"/>
  <c r="B39" i="5" s="1"/>
  <c r="D39" i="5" s="1"/>
  <c r="E8" i="5"/>
  <c r="C39" i="5" s="1"/>
  <c r="D8" i="5"/>
  <c r="X7" i="5"/>
  <c r="G7" i="5"/>
  <c r="F7" i="5"/>
  <c r="B38" i="5" s="1"/>
  <c r="D38" i="5" s="1"/>
  <c r="E7" i="5"/>
  <c r="C38" i="5" s="1"/>
  <c r="D7" i="5"/>
  <c r="X6" i="5"/>
  <c r="G6" i="5"/>
  <c r="F6" i="5"/>
  <c r="B37" i="5" s="1"/>
  <c r="D37" i="5" s="1"/>
  <c r="E6" i="5"/>
  <c r="C37" i="5" s="1"/>
  <c r="D6" i="5"/>
  <c r="X5" i="5"/>
  <c r="G5" i="5"/>
  <c r="G16" i="5" s="1"/>
  <c r="F5" i="5"/>
  <c r="E5" i="5"/>
  <c r="D5" i="5"/>
  <c r="D16" i="5" s="1"/>
  <c r="I3" i="5"/>
  <c r="B60" i="4"/>
  <c r="C59" i="4"/>
  <c r="C58" i="4"/>
  <c r="C60" i="4" s="1"/>
  <c r="B53" i="4"/>
  <c r="C52" i="4"/>
  <c r="C51" i="4"/>
  <c r="C53" i="4" s="1"/>
  <c r="C62" i="4" s="1"/>
  <c r="B46" i="4"/>
  <c r="C46" i="4" s="1"/>
  <c r="D46" i="4" s="1"/>
  <c r="B45" i="4"/>
  <c r="C45" i="4" s="1"/>
  <c r="D45" i="4" s="1"/>
  <c r="B44" i="4"/>
  <c r="C44" i="4" s="1"/>
  <c r="D44" i="4" s="1"/>
  <c r="B43" i="4"/>
  <c r="C43" i="4" s="1"/>
  <c r="D43" i="4" s="1"/>
  <c r="B42" i="4"/>
  <c r="C42" i="4" s="1"/>
  <c r="D42" i="4" s="1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Y26" i="4"/>
  <c r="G26" i="4"/>
  <c r="F26" i="4"/>
  <c r="E26" i="4"/>
  <c r="D26" i="4"/>
  <c r="Y25" i="4"/>
  <c r="G25" i="4"/>
  <c r="F25" i="4"/>
  <c r="E25" i="4"/>
  <c r="D25" i="4"/>
  <c r="Y24" i="4"/>
  <c r="G24" i="4"/>
  <c r="F24" i="4"/>
  <c r="E24" i="4"/>
  <c r="D24" i="4"/>
  <c r="Y23" i="4"/>
  <c r="G23" i="4"/>
  <c r="F23" i="4"/>
  <c r="E23" i="4"/>
  <c r="D23" i="4"/>
  <c r="Y22" i="4"/>
  <c r="G22" i="4"/>
  <c r="F22" i="4"/>
  <c r="E22" i="4"/>
  <c r="D22" i="4"/>
  <c r="Y21" i="4"/>
  <c r="G21" i="4"/>
  <c r="G32" i="4" s="1"/>
  <c r="F21" i="4"/>
  <c r="F32" i="4" s="1"/>
  <c r="E21" i="4"/>
  <c r="E32" i="4" s="1"/>
  <c r="D21" i="4"/>
  <c r="D32" i="4" s="1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X10" i="4"/>
  <c r="G10" i="4"/>
  <c r="F10" i="4"/>
  <c r="B41" i="4" s="1"/>
  <c r="D41" i="4" s="1"/>
  <c r="E10" i="4"/>
  <c r="C41" i="4" s="1"/>
  <c r="D10" i="4"/>
  <c r="X9" i="4"/>
  <c r="G9" i="4"/>
  <c r="F9" i="4"/>
  <c r="B40" i="4" s="1"/>
  <c r="D40" i="4" s="1"/>
  <c r="E9" i="4"/>
  <c r="C40" i="4" s="1"/>
  <c r="D9" i="4"/>
  <c r="X8" i="4"/>
  <c r="G8" i="4"/>
  <c r="F8" i="4"/>
  <c r="B39" i="4" s="1"/>
  <c r="D39" i="4" s="1"/>
  <c r="E8" i="4"/>
  <c r="C39" i="4" s="1"/>
  <c r="D8" i="4"/>
  <c r="X7" i="4"/>
  <c r="G7" i="4"/>
  <c r="F7" i="4"/>
  <c r="B38" i="4" s="1"/>
  <c r="D38" i="4" s="1"/>
  <c r="E7" i="4"/>
  <c r="C38" i="4" s="1"/>
  <c r="D7" i="4"/>
  <c r="X6" i="4"/>
  <c r="G6" i="4"/>
  <c r="F6" i="4"/>
  <c r="B37" i="4" s="1"/>
  <c r="D37" i="4" s="1"/>
  <c r="E6" i="4"/>
  <c r="C37" i="4" s="1"/>
  <c r="D6" i="4"/>
  <c r="X5" i="4"/>
  <c r="G5" i="4"/>
  <c r="G16" i="4" s="1"/>
  <c r="F5" i="4"/>
  <c r="E5" i="4"/>
  <c r="D5" i="4"/>
  <c r="D16" i="4" s="1"/>
  <c r="I3" i="4"/>
  <c r="B60" i="3"/>
  <c r="C59" i="3"/>
  <c r="C58" i="3"/>
  <c r="C60" i="3" s="1"/>
  <c r="B53" i="3"/>
  <c r="C52" i="3"/>
  <c r="C51" i="3"/>
  <c r="C53" i="3" s="1"/>
  <c r="C62" i="3" s="1"/>
  <c r="B46" i="3"/>
  <c r="C46" i="3" s="1"/>
  <c r="D46" i="3" s="1"/>
  <c r="B45" i="3"/>
  <c r="C45" i="3" s="1"/>
  <c r="D45" i="3" s="1"/>
  <c r="B44" i="3"/>
  <c r="C44" i="3" s="1"/>
  <c r="D44" i="3" s="1"/>
  <c r="B43" i="3"/>
  <c r="C43" i="3" s="1"/>
  <c r="D43" i="3" s="1"/>
  <c r="U32" i="3"/>
  <c r="T32" i="3"/>
  <c r="S32" i="3"/>
  <c r="R32" i="3"/>
  <c r="Q32" i="3"/>
  <c r="P32" i="3"/>
  <c r="O32" i="3"/>
  <c r="N32" i="3"/>
  <c r="M32" i="3"/>
  <c r="L32" i="3"/>
  <c r="K32" i="3"/>
  <c r="J32" i="3"/>
  <c r="I32" i="3"/>
  <c r="H32" i="3"/>
  <c r="X27" i="3"/>
  <c r="G27" i="3"/>
  <c r="F27" i="3"/>
  <c r="E27" i="3"/>
  <c r="D27" i="3"/>
  <c r="Y26" i="3"/>
  <c r="G26" i="3"/>
  <c r="F26" i="3"/>
  <c r="E26" i="3"/>
  <c r="D26" i="3"/>
  <c r="Y25" i="3"/>
  <c r="G25" i="3"/>
  <c r="F25" i="3"/>
  <c r="E25" i="3"/>
  <c r="D25" i="3"/>
  <c r="Y24" i="3"/>
  <c r="G24" i="3"/>
  <c r="F24" i="3"/>
  <c r="E24" i="3"/>
  <c r="D24" i="3"/>
  <c r="Y23" i="3"/>
  <c r="G23" i="3"/>
  <c r="F23" i="3"/>
  <c r="E23" i="3"/>
  <c r="D23" i="3"/>
  <c r="Y22" i="3"/>
  <c r="G22" i="3"/>
  <c r="F22" i="3"/>
  <c r="E22" i="3"/>
  <c r="D22" i="3"/>
  <c r="Y21" i="3"/>
  <c r="G21" i="3"/>
  <c r="G32" i="3" s="1"/>
  <c r="F21" i="3"/>
  <c r="F32" i="3" s="1"/>
  <c r="E21" i="3"/>
  <c r="E32" i="3" s="1"/>
  <c r="D21" i="3"/>
  <c r="D32" i="3" s="1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J16" i="3"/>
  <c r="I16" i="3"/>
  <c r="H16" i="3"/>
  <c r="X11" i="3"/>
  <c r="G11" i="3"/>
  <c r="B42" i="3" s="1"/>
  <c r="D42" i="3" s="1"/>
  <c r="F11" i="3"/>
  <c r="E11" i="3"/>
  <c r="C42" i="3" s="1"/>
  <c r="D11" i="3"/>
  <c r="X10" i="3"/>
  <c r="G10" i="3"/>
  <c r="F10" i="3"/>
  <c r="B41" i="3" s="1"/>
  <c r="D41" i="3" s="1"/>
  <c r="E10" i="3"/>
  <c r="C41" i="3" s="1"/>
  <c r="D10" i="3"/>
  <c r="X9" i="3"/>
  <c r="G9" i="3"/>
  <c r="F9" i="3"/>
  <c r="B40" i="3" s="1"/>
  <c r="D40" i="3" s="1"/>
  <c r="E9" i="3"/>
  <c r="C40" i="3" s="1"/>
  <c r="D9" i="3"/>
  <c r="X8" i="3"/>
  <c r="G8" i="3"/>
  <c r="F8" i="3"/>
  <c r="B39" i="3" s="1"/>
  <c r="D39" i="3" s="1"/>
  <c r="E8" i="3"/>
  <c r="C39" i="3" s="1"/>
  <c r="D8" i="3"/>
  <c r="X7" i="3"/>
  <c r="G7" i="3"/>
  <c r="F7" i="3"/>
  <c r="B38" i="3" s="1"/>
  <c r="D38" i="3" s="1"/>
  <c r="E7" i="3"/>
  <c r="C38" i="3" s="1"/>
  <c r="D7" i="3"/>
  <c r="X6" i="3"/>
  <c r="G6" i="3"/>
  <c r="F6" i="3"/>
  <c r="B37" i="3" s="1"/>
  <c r="D37" i="3" s="1"/>
  <c r="E6" i="3"/>
  <c r="C37" i="3" s="1"/>
  <c r="D6" i="3"/>
  <c r="X5" i="3"/>
  <c r="G5" i="3"/>
  <c r="G16" i="3" s="1"/>
  <c r="F5" i="3"/>
  <c r="E5" i="3"/>
  <c r="D5" i="3"/>
  <c r="D16" i="3" s="1"/>
  <c r="I3" i="3"/>
  <c r="B60" i="2"/>
  <c r="C59" i="2"/>
  <c r="C58" i="2"/>
  <c r="C60" i="2" s="1"/>
  <c r="B53" i="2"/>
  <c r="C52" i="2"/>
  <c r="C51" i="2"/>
  <c r="C53" i="2" s="1"/>
  <c r="C62" i="2" s="1"/>
  <c r="B46" i="2"/>
  <c r="C46" i="2" s="1"/>
  <c r="D46" i="2" s="1"/>
  <c r="B45" i="2"/>
  <c r="C45" i="2" s="1"/>
  <c r="D45" i="2" s="1"/>
  <c r="B44" i="2"/>
  <c r="C44" i="2" s="1"/>
  <c r="D44" i="2" s="1"/>
  <c r="B43" i="2"/>
  <c r="C43" i="2" s="1"/>
  <c r="D43" i="2" s="1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Y27" i="2"/>
  <c r="G27" i="2"/>
  <c r="F27" i="2"/>
  <c r="E27" i="2"/>
  <c r="D27" i="2"/>
  <c r="Y26" i="2"/>
  <c r="G26" i="2"/>
  <c r="F26" i="2"/>
  <c r="E26" i="2"/>
  <c r="D26" i="2"/>
  <c r="Y25" i="2"/>
  <c r="G25" i="2"/>
  <c r="F25" i="2"/>
  <c r="E25" i="2"/>
  <c r="D25" i="2"/>
  <c r="Y24" i="2"/>
  <c r="G24" i="2"/>
  <c r="F24" i="2"/>
  <c r="E24" i="2"/>
  <c r="D24" i="2"/>
  <c r="Y23" i="2"/>
  <c r="G23" i="2"/>
  <c r="F23" i="2"/>
  <c r="E23" i="2"/>
  <c r="D23" i="2"/>
  <c r="Y22" i="2"/>
  <c r="G22" i="2"/>
  <c r="F22" i="2"/>
  <c r="E22" i="2"/>
  <c r="D22" i="2"/>
  <c r="Y21" i="2"/>
  <c r="G21" i="2"/>
  <c r="G32" i="2" s="1"/>
  <c r="F21" i="2"/>
  <c r="F32" i="2" s="1"/>
  <c r="E21" i="2"/>
  <c r="E32" i="2" s="1"/>
  <c r="D21" i="2"/>
  <c r="D32" i="2" s="1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X11" i="2"/>
  <c r="G11" i="2"/>
  <c r="B42" i="2" s="1"/>
  <c r="D42" i="2" s="1"/>
  <c r="F11" i="2"/>
  <c r="E11" i="2"/>
  <c r="C42" i="2" s="1"/>
  <c r="D11" i="2"/>
  <c r="X10" i="2"/>
  <c r="G10" i="2"/>
  <c r="F10" i="2"/>
  <c r="B41" i="2" s="1"/>
  <c r="D41" i="2" s="1"/>
  <c r="E10" i="2"/>
  <c r="C41" i="2" s="1"/>
  <c r="D10" i="2"/>
  <c r="X9" i="2"/>
  <c r="G9" i="2"/>
  <c r="F9" i="2"/>
  <c r="B40" i="2" s="1"/>
  <c r="D40" i="2" s="1"/>
  <c r="E9" i="2"/>
  <c r="C40" i="2" s="1"/>
  <c r="D9" i="2"/>
  <c r="X8" i="2"/>
  <c r="G8" i="2"/>
  <c r="F8" i="2"/>
  <c r="B39" i="2" s="1"/>
  <c r="D39" i="2" s="1"/>
  <c r="E8" i="2"/>
  <c r="C39" i="2" s="1"/>
  <c r="D8" i="2"/>
  <c r="X7" i="2"/>
  <c r="G7" i="2"/>
  <c r="F7" i="2"/>
  <c r="B38" i="2" s="1"/>
  <c r="D38" i="2" s="1"/>
  <c r="E7" i="2"/>
  <c r="C38" i="2" s="1"/>
  <c r="D7" i="2"/>
  <c r="X6" i="2"/>
  <c r="G6" i="2"/>
  <c r="F6" i="2"/>
  <c r="B37" i="2" s="1"/>
  <c r="D37" i="2" s="1"/>
  <c r="E6" i="2"/>
  <c r="C37" i="2" s="1"/>
  <c r="D6" i="2"/>
  <c r="X5" i="2"/>
  <c r="G5" i="2"/>
  <c r="G16" i="2" s="1"/>
  <c r="F5" i="2"/>
  <c r="E5" i="2"/>
  <c r="D5" i="2"/>
  <c r="D16" i="2" s="1"/>
  <c r="I3" i="2"/>
  <c r="B60" i="1"/>
  <c r="C59" i="1"/>
  <c r="C58" i="1"/>
  <c r="C60" i="1" s="1"/>
  <c r="B53" i="1"/>
  <c r="C52" i="1"/>
  <c r="C51" i="1"/>
  <c r="C53" i="1" s="1"/>
  <c r="C62" i="1" s="1"/>
  <c r="B46" i="1"/>
  <c r="C46" i="1" s="1"/>
  <c r="D46" i="1" s="1"/>
  <c r="B45" i="1"/>
  <c r="C45" i="1" s="1"/>
  <c r="D45" i="1" s="1"/>
  <c r="B44" i="1"/>
  <c r="C44" i="1" s="1"/>
  <c r="D44" i="1" s="1"/>
  <c r="B43" i="1"/>
  <c r="C43" i="1" s="1"/>
  <c r="D43" i="1" s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Y27" i="1"/>
  <c r="G27" i="1"/>
  <c r="F27" i="1"/>
  <c r="E27" i="1"/>
  <c r="D27" i="1"/>
  <c r="Y26" i="1"/>
  <c r="G26" i="1"/>
  <c r="F26" i="1"/>
  <c r="E26" i="1"/>
  <c r="D26" i="1"/>
  <c r="Y25" i="1"/>
  <c r="G25" i="1"/>
  <c r="F25" i="1"/>
  <c r="E25" i="1"/>
  <c r="D25" i="1"/>
  <c r="Y24" i="1"/>
  <c r="G24" i="1"/>
  <c r="F24" i="1"/>
  <c r="E24" i="1"/>
  <c r="D24" i="1"/>
  <c r="Y23" i="1"/>
  <c r="G23" i="1"/>
  <c r="F23" i="1"/>
  <c r="E23" i="1"/>
  <c r="D23" i="1"/>
  <c r="Y22" i="1"/>
  <c r="G22" i="1"/>
  <c r="F22" i="1"/>
  <c r="E22" i="1"/>
  <c r="D22" i="1"/>
  <c r="Y21" i="1"/>
  <c r="G21" i="1"/>
  <c r="G32" i="1" s="1"/>
  <c r="F21" i="1"/>
  <c r="F32" i="1" s="1"/>
  <c r="E21" i="1"/>
  <c r="E32" i="1" s="1"/>
  <c r="D21" i="1"/>
  <c r="D32" i="1" s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X11" i="1"/>
  <c r="G11" i="1"/>
  <c r="B42" i="1" s="1"/>
  <c r="D42" i="1" s="1"/>
  <c r="F11" i="1"/>
  <c r="E11" i="1"/>
  <c r="C42" i="1" s="1"/>
  <c r="D11" i="1"/>
  <c r="X10" i="1"/>
  <c r="G10" i="1"/>
  <c r="F10" i="1"/>
  <c r="B41" i="1" s="1"/>
  <c r="D41" i="1" s="1"/>
  <c r="E10" i="1"/>
  <c r="C41" i="1" s="1"/>
  <c r="D10" i="1"/>
  <c r="X9" i="1"/>
  <c r="G9" i="1"/>
  <c r="F9" i="1"/>
  <c r="B40" i="1" s="1"/>
  <c r="D40" i="1" s="1"/>
  <c r="E9" i="1"/>
  <c r="C40" i="1" s="1"/>
  <c r="D9" i="1"/>
  <c r="X8" i="1"/>
  <c r="G8" i="1"/>
  <c r="F8" i="1"/>
  <c r="B39" i="1" s="1"/>
  <c r="D39" i="1" s="1"/>
  <c r="E8" i="1"/>
  <c r="C39" i="1" s="1"/>
  <c r="D8" i="1"/>
  <c r="X7" i="1"/>
  <c r="G7" i="1"/>
  <c r="F7" i="1"/>
  <c r="B38" i="1" s="1"/>
  <c r="D38" i="1" s="1"/>
  <c r="E7" i="1"/>
  <c r="C38" i="1" s="1"/>
  <c r="D7" i="1"/>
  <c r="G6" i="1"/>
  <c r="F6" i="1"/>
  <c r="B37" i="1" s="1"/>
  <c r="D37" i="1" s="1"/>
  <c r="E6" i="1"/>
  <c r="C37" i="1" s="1"/>
  <c r="D6" i="1"/>
  <c r="X5" i="1"/>
  <c r="G5" i="1"/>
  <c r="G16" i="1" s="1"/>
  <c r="F5" i="1"/>
  <c r="E5" i="1"/>
  <c r="D5" i="1"/>
  <c r="D16" i="1" s="1"/>
  <c r="I3" i="1"/>
  <c r="C37" i="23" l="1"/>
  <c r="B35" i="23"/>
  <c r="D35" i="23" s="1"/>
  <c r="B39" i="23"/>
  <c r="D39" i="23" s="1"/>
  <c r="C39" i="23"/>
  <c r="F30" i="23"/>
  <c r="C36" i="23"/>
  <c r="B36" i="23"/>
  <c r="D36" i="23" s="1"/>
  <c r="B38" i="23"/>
  <c r="D38" i="23" s="1"/>
  <c r="F10" i="23"/>
  <c r="C57" i="23"/>
  <c r="C59" i="23" s="1"/>
  <c r="B37" i="23"/>
  <c r="D37" i="23" s="1"/>
  <c r="D30" i="23"/>
  <c r="D15" i="23"/>
  <c r="E30" i="23"/>
  <c r="G15" i="23"/>
  <c r="C35" i="23"/>
  <c r="C38" i="23"/>
  <c r="G30" i="23"/>
  <c r="I4" i="23"/>
  <c r="J3" i="23"/>
  <c r="C34" i="23"/>
  <c r="E15" i="23"/>
  <c r="B34" i="23"/>
  <c r="D34" i="23" s="1"/>
  <c r="F15" i="23"/>
  <c r="I4" i="22"/>
  <c r="J3" i="22"/>
  <c r="C34" i="22"/>
  <c r="E15" i="22"/>
  <c r="B34" i="22"/>
  <c r="D34" i="22" s="1"/>
  <c r="F15" i="22"/>
  <c r="I4" i="21"/>
  <c r="J3" i="21"/>
  <c r="C34" i="21"/>
  <c r="E15" i="21"/>
  <c r="B34" i="21"/>
  <c r="D34" i="21" s="1"/>
  <c r="F15" i="21"/>
  <c r="I4" i="20"/>
  <c r="J3" i="20"/>
  <c r="C34" i="20"/>
  <c r="E15" i="20"/>
  <c r="B34" i="20"/>
  <c r="D34" i="20" s="1"/>
  <c r="F15" i="20"/>
  <c r="I4" i="19"/>
  <c r="J3" i="19"/>
  <c r="C34" i="19"/>
  <c r="E15" i="19"/>
  <c r="B34" i="19"/>
  <c r="D34" i="19" s="1"/>
  <c r="F15" i="19"/>
  <c r="I4" i="18"/>
  <c r="J3" i="18"/>
  <c r="C34" i="18"/>
  <c r="E15" i="18"/>
  <c r="B34" i="18"/>
  <c r="D34" i="18" s="1"/>
  <c r="F15" i="18"/>
  <c r="I4" i="17"/>
  <c r="J3" i="17"/>
  <c r="C34" i="17"/>
  <c r="E15" i="17"/>
  <c r="B34" i="17"/>
  <c r="D34" i="17" s="1"/>
  <c r="F15" i="17"/>
  <c r="I4" i="16"/>
  <c r="J3" i="16"/>
  <c r="C34" i="16"/>
  <c r="E15" i="16"/>
  <c r="B34" i="16"/>
  <c r="D34" i="16" s="1"/>
  <c r="F15" i="16"/>
  <c r="I4" i="15"/>
  <c r="J3" i="15"/>
  <c r="C34" i="15"/>
  <c r="E15" i="15"/>
  <c r="B34" i="15"/>
  <c r="D34" i="15" s="1"/>
  <c r="F15" i="15"/>
  <c r="I4" i="14"/>
  <c r="J3" i="14"/>
  <c r="C34" i="14"/>
  <c r="E15" i="14"/>
  <c r="B34" i="14"/>
  <c r="D34" i="14" s="1"/>
  <c r="F15" i="14"/>
  <c r="I4" i="13"/>
  <c r="J3" i="13"/>
  <c r="C34" i="13"/>
  <c r="E15" i="13"/>
  <c r="B34" i="13"/>
  <c r="D34" i="13" s="1"/>
  <c r="F15" i="13"/>
  <c r="I4" i="1"/>
  <c r="J3" i="1"/>
  <c r="C36" i="1"/>
  <c r="E16" i="1"/>
  <c r="B36" i="1"/>
  <c r="D36" i="1" s="1"/>
  <c r="F16" i="1"/>
  <c r="I4" i="2"/>
  <c r="J3" i="2"/>
  <c r="C36" i="2"/>
  <c r="E16" i="2"/>
  <c r="B36" i="2"/>
  <c r="D36" i="2" s="1"/>
  <c r="F16" i="2"/>
  <c r="I4" i="3"/>
  <c r="J3" i="3"/>
  <c r="C36" i="3"/>
  <c r="E16" i="3"/>
  <c r="B36" i="3"/>
  <c r="D36" i="3" s="1"/>
  <c r="F16" i="3"/>
  <c r="I4" i="4"/>
  <c r="J3" i="4"/>
  <c r="C36" i="4"/>
  <c r="E16" i="4"/>
  <c r="B36" i="4"/>
  <c r="D36" i="4" s="1"/>
  <c r="F16" i="4"/>
  <c r="I4" i="5"/>
  <c r="J3" i="5"/>
  <c r="C36" i="5"/>
  <c r="E16" i="5"/>
  <c r="B36" i="5"/>
  <c r="D36" i="5" s="1"/>
  <c r="F16" i="5"/>
  <c r="I4" i="6"/>
  <c r="J3" i="6"/>
  <c r="C36" i="6"/>
  <c r="E16" i="6"/>
  <c r="B36" i="6"/>
  <c r="D36" i="6" s="1"/>
  <c r="F16" i="6"/>
  <c r="I4" i="7"/>
  <c r="J3" i="7"/>
  <c r="C36" i="7"/>
  <c r="E16" i="7"/>
  <c r="B36" i="7"/>
  <c r="D36" i="7" s="1"/>
  <c r="F16" i="7"/>
  <c r="I4" i="8"/>
  <c r="J3" i="8"/>
  <c r="C36" i="8"/>
  <c r="E16" i="8"/>
  <c r="B36" i="8"/>
  <c r="D36" i="8" s="1"/>
  <c r="F16" i="8"/>
  <c r="I4" i="9"/>
  <c r="J3" i="9"/>
  <c r="C36" i="9"/>
  <c r="E16" i="9"/>
  <c r="B36" i="9"/>
  <c r="D36" i="9" s="1"/>
  <c r="F16" i="9"/>
  <c r="I4" i="10"/>
  <c r="J3" i="10"/>
  <c r="C36" i="10"/>
  <c r="E16" i="10"/>
  <c r="B36" i="10"/>
  <c r="D36" i="10" s="1"/>
  <c r="F16" i="10"/>
  <c r="I4" i="11"/>
  <c r="J3" i="11"/>
  <c r="C36" i="11"/>
  <c r="E16" i="11"/>
  <c r="B36" i="11"/>
  <c r="D36" i="11" s="1"/>
  <c r="F16" i="11"/>
  <c r="I4" i="12"/>
  <c r="J3" i="12"/>
  <c r="B36" i="12"/>
  <c r="D36" i="12" s="1"/>
  <c r="F16" i="12"/>
  <c r="J4" i="23" l="1"/>
  <c r="K3" i="23"/>
  <c r="J4" i="22"/>
  <c r="K3" i="22"/>
  <c r="J4" i="21"/>
  <c r="K3" i="21"/>
  <c r="J4" i="20"/>
  <c r="K3" i="20"/>
  <c r="J4" i="19"/>
  <c r="K3" i="19"/>
  <c r="J4" i="18"/>
  <c r="K3" i="18"/>
  <c r="J4" i="17"/>
  <c r="K3" i="17"/>
  <c r="J4" i="16"/>
  <c r="K3" i="16"/>
  <c r="J4" i="15"/>
  <c r="K3" i="15"/>
  <c r="J4" i="14"/>
  <c r="K3" i="14"/>
  <c r="J4" i="13"/>
  <c r="K3" i="13"/>
  <c r="J4" i="12"/>
  <c r="K3" i="12"/>
  <c r="J4" i="11"/>
  <c r="K3" i="11"/>
  <c r="J4" i="10"/>
  <c r="K3" i="10"/>
  <c r="J4" i="9"/>
  <c r="K3" i="9"/>
  <c r="J4" i="8"/>
  <c r="K3" i="8"/>
  <c r="J4" i="7"/>
  <c r="K3" i="7"/>
  <c r="J4" i="6"/>
  <c r="K3" i="6"/>
  <c r="J4" i="5"/>
  <c r="K3" i="5"/>
  <c r="J4" i="4"/>
  <c r="K3" i="4"/>
  <c r="J4" i="3"/>
  <c r="K3" i="3"/>
  <c r="J4" i="2"/>
  <c r="K3" i="2"/>
  <c r="J4" i="1"/>
  <c r="K3" i="1"/>
  <c r="K4" i="23" l="1"/>
  <c r="L3" i="23"/>
  <c r="K4" i="22"/>
  <c r="L3" i="22"/>
  <c r="K4" i="21"/>
  <c r="L3" i="21"/>
  <c r="K4" i="20"/>
  <c r="L3" i="20"/>
  <c r="K4" i="19"/>
  <c r="L3" i="19"/>
  <c r="K4" i="18"/>
  <c r="L3" i="18"/>
  <c r="K4" i="17"/>
  <c r="L3" i="17"/>
  <c r="K4" i="16"/>
  <c r="L3" i="16"/>
  <c r="K4" i="15"/>
  <c r="L3" i="15"/>
  <c r="K4" i="14"/>
  <c r="L3" i="14"/>
  <c r="K4" i="13"/>
  <c r="L3" i="13"/>
  <c r="K4" i="1"/>
  <c r="L3" i="1"/>
  <c r="K4" i="2"/>
  <c r="L3" i="2"/>
  <c r="K4" i="3"/>
  <c r="L3" i="3"/>
  <c r="K4" i="4"/>
  <c r="L3" i="4"/>
  <c r="K4" i="5"/>
  <c r="L3" i="5"/>
  <c r="K4" i="6"/>
  <c r="L3" i="6"/>
  <c r="K4" i="7"/>
  <c r="L3" i="7"/>
  <c r="K4" i="8"/>
  <c r="L3" i="8"/>
  <c r="K4" i="9"/>
  <c r="L3" i="9"/>
  <c r="K4" i="10"/>
  <c r="L3" i="10"/>
  <c r="K4" i="11"/>
  <c r="L3" i="11"/>
  <c r="K4" i="12"/>
  <c r="L3" i="12"/>
  <c r="L4" i="23" l="1"/>
  <c r="M3" i="23"/>
  <c r="L4" i="22"/>
  <c r="M3" i="22"/>
  <c r="L4" i="21"/>
  <c r="M3" i="21"/>
  <c r="L4" i="20"/>
  <c r="M3" i="20"/>
  <c r="L4" i="19"/>
  <c r="M3" i="19"/>
  <c r="L4" i="18"/>
  <c r="M3" i="18"/>
  <c r="L4" i="17"/>
  <c r="M3" i="17"/>
  <c r="L4" i="16"/>
  <c r="M3" i="16"/>
  <c r="L4" i="15"/>
  <c r="M3" i="15"/>
  <c r="L4" i="14"/>
  <c r="M3" i="14"/>
  <c r="L4" i="13"/>
  <c r="M3" i="13"/>
  <c r="L4" i="12"/>
  <c r="M3" i="12"/>
  <c r="L4" i="11"/>
  <c r="M3" i="11"/>
  <c r="L4" i="10"/>
  <c r="M3" i="10"/>
  <c r="L4" i="9"/>
  <c r="M3" i="9"/>
  <c r="L4" i="8"/>
  <c r="M3" i="8"/>
  <c r="L4" i="7"/>
  <c r="M3" i="7"/>
  <c r="L4" i="6"/>
  <c r="M3" i="6"/>
  <c r="L4" i="5"/>
  <c r="M3" i="5"/>
  <c r="L4" i="4"/>
  <c r="M3" i="4"/>
  <c r="L4" i="3"/>
  <c r="M3" i="3"/>
  <c r="L4" i="2"/>
  <c r="M3" i="2"/>
  <c r="L4" i="1"/>
  <c r="M3" i="1"/>
  <c r="M4" i="23" l="1"/>
  <c r="N3" i="23"/>
  <c r="M4" i="22"/>
  <c r="N3" i="22"/>
  <c r="M4" i="21"/>
  <c r="N3" i="21"/>
  <c r="M4" i="20"/>
  <c r="N3" i="20"/>
  <c r="M4" i="19"/>
  <c r="N3" i="19"/>
  <c r="M4" i="18"/>
  <c r="N3" i="18"/>
  <c r="M4" i="17"/>
  <c r="N3" i="17"/>
  <c r="M4" i="16"/>
  <c r="N3" i="16"/>
  <c r="M4" i="15"/>
  <c r="N3" i="15"/>
  <c r="M4" i="14"/>
  <c r="N3" i="14"/>
  <c r="M4" i="13"/>
  <c r="N3" i="13"/>
  <c r="M4" i="1"/>
  <c r="N3" i="1"/>
  <c r="M4" i="2"/>
  <c r="N3" i="2"/>
  <c r="M4" i="3"/>
  <c r="N3" i="3"/>
  <c r="M4" i="4"/>
  <c r="N3" i="4"/>
  <c r="M4" i="5"/>
  <c r="N3" i="5"/>
  <c r="M4" i="6"/>
  <c r="N3" i="6"/>
  <c r="M4" i="7"/>
  <c r="N3" i="7"/>
  <c r="M4" i="8"/>
  <c r="N3" i="8"/>
  <c r="M4" i="9"/>
  <c r="N3" i="9"/>
  <c r="M4" i="10"/>
  <c r="N3" i="10"/>
  <c r="M4" i="11"/>
  <c r="N3" i="11"/>
  <c r="M4" i="12"/>
  <c r="N3" i="12"/>
  <c r="N4" i="23" l="1"/>
  <c r="O3" i="23"/>
  <c r="N4" i="22"/>
  <c r="O3" i="22"/>
  <c r="N4" i="21"/>
  <c r="O3" i="21"/>
  <c r="N4" i="20"/>
  <c r="O3" i="20"/>
  <c r="N4" i="19"/>
  <c r="O3" i="19"/>
  <c r="N4" i="18"/>
  <c r="O3" i="18"/>
  <c r="N4" i="17"/>
  <c r="O3" i="17"/>
  <c r="N4" i="16"/>
  <c r="O3" i="16"/>
  <c r="N4" i="15"/>
  <c r="O3" i="15"/>
  <c r="N4" i="14"/>
  <c r="O3" i="14"/>
  <c r="N4" i="13"/>
  <c r="O3" i="13"/>
  <c r="N4" i="12"/>
  <c r="O3" i="12"/>
  <c r="N4" i="11"/>
  <c r="O3" i="11"/>
  <c r="N4" i="10"/>
  <c r="O3" i="10"/>
  <c r="N4" i="9"/>
  <c r="O3" i="9"/>
  <c r="N4" i="8"/>
  <c r="O3" i="8"/>
  <c r="N4" i="7"/>
  <c r="O3" i="7"/>
  <c r="N4" i="6"/>
  <c r="O3" i="6"/>
  <c r="N4" i="5"/>
  <c r="O3" i="5"/>
  <c r="N4" i="4"/>
  <c r="O3" i="4"/>
  <c r="N4" i="3"/>
  <c r="O3" i="3"/>
  <c r="N4" i="2"/>
  <c r="O3" i="2"/>
  <c r="N4" i="1"/>
  <c r="O3" i="1"/>
  <c r="O4" i="23" l="1"/>
  <c r="P3" i="23"/>
  <c r="O4" i="22"/>
  <c r="P3" i="22"/>
  <c r="O4" i="21"/>
  <c r="P3" i="21"/>
  <c r="O4" i="20"/>
  <c r="P3" i="20"/>
  <c r="O4" i="19"/>
  <c r="P3" i="19"/>
  <c r="O4" i="18"/>
  <c r="P3" i="18"/>
  <c r="O4" i="17"/>
  <c r="P3" i="17"/>
  <c r="O4" i="16"/>
  <c r="P3" i="16"/>
  <c r="O4" i="15"/>
  <c r="P3" i="15"/>
  <c r="O4" i="14"/>
  <c r="P3" i="14"/>
  <c r="O4" i="13"/>
  <c r="P3" i="13"/>
  <c r="O4" i="1"/>
  <c r="P3" i="1"/>
  <c r="O4" i="2"/>
  <c r="P3" i="2"/>
  <c r="O4" i="3"/>
  <c r="P3" i="3"/>
  <c r="O4" i="4"/>
  <c r="P3" i="4"/>
  <c r="O4" i="5"/>
  <c r="P3" i="5"/>
  <c r="O4" i="6"/>
  <c r="P3" i="6"/>
  <c r="O4" i="7"/>
  <c r="P3" i="7"/>
  <c r="O4" i="8"/>
  <c r="P3" i="8"/>
  <c r="O4" i="9"/>
  <c r="P3" i="9"/>
  <c r="O4" i="10"/>
  <c r="P3" i="10"/>
  <c r="O4" i="11"/>
  <c r="P3" i="11"/>
  <c r="O4" i="12"/>
  <c r="P3" i="12"/>
  <c r="P4" i="23" l="1"/>
  <c r="Q3" i="23"/>
  <c r="P4" i="22"/>
  <c r="Q3" i="22"/>
  <c r="P4" i="21"/>
  <c r="Q3" i="21"/>
  <c r="P4" i="20"/>
  <c r="Q3" i="20"/>
  <c r="P4" i="19"/>
  <c r="Q3" i="19"/>
  <c r="P4" i="18"/>
  <c r="Q3" i="18"/>
  <c r="P4" i="17"/>
  <c r="Q3" i="17"/>
  <c r="P4" i="16"/>
  <c r="Q3" i="16"/>
  <c r="P4" i="15"/>
  <c r="Q3" i="15"/>
  <c r="P4" i="14"/>
  <c r="Q3" i="14"/>
  <c r="P4" i="13"/>
  <c r="Q3" i="13"/>
  <c r="P4" i="12"/>
  <c r="Q3" i="12"/>
  <c r="P4" i="11"/>
  <c r="Q3" i="11"/>
  <c r="P4" i="10"/>
  <c r="Q3" i="10"/>
  <c r="P4" i="9"/>
  <c r="Q3" i="9"/>
  <c r="P4" i="8"/>
  <c r="Q3" i="8"/>
  <c r="P4" i="7"/>
  <c r="Q3" i="7"/>
  <c r="P4" i="6"/>
  <c r="Q3" i="6"/>
  <c r="P4" i="5"/>
  <c r="Q3" i="5"/>
  <c r="P4" i="4"/>
  <c r="Q3" i="4"/>
  <c r="P4" i="3"/>
  <c r="Q3" i="3"/>
  <c r="P4" i="2"/>
  <c r="Q3" i="2"/>
  <c r="P4" i="1"/>
  <c r="Q3" i="1"/>
  <c r="Q4" i="23" l="1"/>
  <c r="R3" i="23"/>
  <c r="Q4" i="22"/>
  <c r="R3" i="22"/>
  <c r="Q4" i="21"/>
  <c r="R3" i="21"/>
  <c r="Q4" i="20"/>
  <c r="R3" i="20"/>
  <c r="Q4" i="19"/>
  <c r="R3" i="19"/>
  <c r="Q4" i="18"/>
  <c r="R3" i="18"/>
  <c r="Q4" i="17"/>
  <c r="R3" i="17"/>
  <c r="Q4" i="16"/>
  <c r="R3" i="16"/>
  <c r="Q4" i="15"/>
  <c r="R3" i="15"/>
  <c r="Q4" i="14"/>
  <c r="R3" i="14"/>
  <c r="Q4" i="13"/>
  <c r="R3" i="13"/>
  <c r="Q4" i="1"/>
  <c r="R3" i="1"/>
  <c r="Q4" i="2"/>
  <c r="R3" i="2"/>
  <c r="Q4" i="3"/>
  <c r="R3" i="3"/>
  <c r="Q4" i="4"/>
  <c r="R3" i="4"/>
  <c r="Q4" i="5"/>
  <c r="R3" i="5"/>
  <c r="Q4" i="6"/>
  <c r="R3" i="6"/>
  <c r="Q4" i="7"/>
  <c r="R3" i="7"/>
  <c r="Q4" i="8"/>
  <c r="R3" i="8"/>
  <c r="Q4" i="9"/>
  <c r="R3" i="9"/>
  <c r="Q4" i="10"/>
  <c r="R3" i="10"/>
  <c r="Q4" i="11"/>
  <c r="R3" i="11"/>
  <c r="Q4" i="12"/>
  <c r="R3" i="12"/>
  <c r="R4" i="23" l="1"/>
  <c r="S3" i="23"/>
  <c r="R4" i="22"/>
  <c r="S3" i="22"/>
  <c r="R4" i="21"/>
  <c r="S3" i="21"/>
  <c r="R4" i="20"/>
  <c r="S3" i="20"/>
  <c r="R4" i="19"/>
  <c r="S3" i="19"/>
  <c r="R4" i="18"/>
  <c r="S3" i="18"/>
  <c r="R4" i="17"/>
  <c r="S3" i="17"/>
  <c r="R4" i="16"/>
  <c r="S3" i="16"/>
  <c r="R4" i="15"/>
  <c r="S3" i="15"/>
  <c r="R4" i="14"/>
  <c r="S3" i="14"/>
  <c r="R4" i="13"/>
  <c r="S3" i="13"/>
  <c r="R4" i="12"/>
  <c r="S3" i="12"/>
  <c r="R4" i="11"/>
  <c r="S3" i="11"/>
  <c r="R4" i="10"/>
  <c r="S3" i="10"/>
  <c r="R4" i="9"/>
  <c r="S3" i="9"/>
  <c r="R4" i="8"/>
  <c r="S3" i="8"/>
  <c r="R4" i="7"/>
  <c r="S3" i="7"/>
  <c r="R4" i="6"/>
  <c r="S3" i="6"/>
  <c r="R4" i="5"/>
  <c r="S3" i="5"/>
  <c r="R4" i="4"/>
  <c r="S3" i="4"/>
  <c r="R4" i="3"/>
  <c r="S3" i="3"/>
  <c r="R4" i="2"/>
  <c r="S3" i="2"/>
  <c r="R4" i="1"/>
  <c r="S3" i="1"/>
  <c r="S4" i="23" l="1"/>
  <c r="T3" i="23"/>
  <c r="S4" i="22"/>
  <c r="T3" i="22"/>
  <c r="S4" i="21"/>
  <c r="T3" i="21"/>
  <c r="S4" i="20"/>
  <c r="T3" i="20"/>
  <c r="S4" i="19"/>
  <c r="T3" i="19"/>
  <c r="S4" i="18"/>
  <c r="T3" i="18"/>
  <c r="S4" i="17"/>
  <c r="T3" i="17"/>
  <c r="S4" i="16"/>
  <c r="T3" i="16"/>
  <c r="S4" i="15"/>
  <c r="T3" i="15"/>
  <c r="S4" i="14"/>
  <c r="T3" i="14"/>
  <c r="S4" i="13"/>
  <c r="T3" i="13"/>
  <c r="S4" i="1"/>
  <c r="T3" i="1"/>
  <c r="S4" i="2"/>
  <c r="T3" i="2"/>
  <c r="S4" i="3"/>
  <c r="T3" i="3"/>
  <c r="S4" i="4"/>
  <c r="T3" i="4"/>
  <c r="S4" i="5"/>
  <c r="T3" i="5"/>
  <c r="S4" i="6"/>
  <c r="T3" i="6"/>
  <c r="S4" i="7"/>
  <c r="T3" i="7"/>
  <c r="S4" i="8"/>
  <c r="T3" i="8"/>
  <c r="S4" i="9"/>
  <c r="T3" i="9"/>
  <c r="S4" i="10"/>
  <c r="T3" i="10"/>
  <c r="S4" i="11"/>
  <c r="T3" i="11"/>
  <c r="S4" i="12"/>
  <c r="T3" i="12"/>
  <c r="T4" i="23" l="1"/>
  <c r="U3" i="23"/>
  <c r="T4" i="22"/>
  <c r="U3" i="22"/>
  <c r="T4" i="21"/>
  <c r="U3" i="21"/>
  <c r="T4" i="20"/>
  <c r="U3" i="20"/>
  <c r="T4" i="19"/>
  <c r="U3" i="19"/>
  <c r="T4" i="18"/>
  <c r="U3" i="18"/>
  <c r="T4" i="17"/>
  <c r="U3" i="17"/>
  <c r="T4" i="16"/>
  <c r="U3" i="16"/>
  <c r="T4" i="15"/>
  <c r="U3" i="15"/>
  <c r="T4" i="14"/>
  <c r="U3" i="14"/>
  <c r="T4" i="13"/>
  <c r="U3" i="13"/>
  <c r="T4" i="12"/>
  <c r="U3" i="12"/>
  <c r="T4" i="11"/>
  <c r="U3" i="11"/>
  <c r="T4" i="10"/>
  <c r="U3" i="10"/>
  <c r="T4" i="9"/>
  <c r="U3" i="9"/>
  <c r="T4" i="8"/>
  <c r="U3" i="8"/>
  <c r="T4" i="7"/>
  <c r="U3" i="7"/>
  <c r="T4" i="6"/>
  <c r="U3" i="6"/>
  <c r="T4" i="5"/>
  <c r="U3" i="5"/>
  <c r="T4" i="4"/>
  <c r="U3" i="4"/>
  <c r="T4" i="3"/>
  <c r="U3" i="3"/>
  <c r="T4" i="2"/>
  <c r="U3" i="2"/>
  <c r="T4" i="1"/>
  <c r="U3" i="1"/>
  <c r="U4" i="23" l="1"/>
  <c r="V3" i="23"/>
  <c r="U4" i="22"/>
  <c r="V3" i="22"/>
  <c r="U4" i="21"/>
  <c r="V3" i="21"/>
  <c r="U4" i="20"/>
  <c r="V3" i="20"/>
  <c r="U4" i="19"/>
  <c r="V3" i="19"/>
  <c r="U4" i="18"/>
  <c r="V3" i="18"/>
  <c r="U4" i="17"/>
  <c r="V3" i="17"/>
  <c r="U4" i="16"/>
  <c r="V3" i="16"/>
  <c r="U4" i="15"/>
  <c r="V3" i="15"/>
  <c r="U4" i="14"/>
  <c r="V3" i="14"/>
  <c r="U4" i="13"/>
  <c r="V3" i="13"/>
  <c r="U4" i="1"/>
  <c r="V3" i="1"/>
  <c r="U4" i="2"/>
  <c r="V3" i="2"/>
  <c r="U4" i="3"/>
  <c r="V3" i="3"/>
  <c r="U4" i="4"/>
  <c r="V3" i="4"/>
  <c r="U4" i="5"/>
  <c r="V3" i="5"/>
  <c r="U4" i="6"/>
  <c r="V3" i="6"/>
  <c r="U4" i="7"/>
  <c r="V3" i="7"/>
  <c r="U4" i="8"/>
  <c r="V3" i="8"/>
  <c r="U4" i="9"/>
  <c r="V3" i="9"/>
  <c r="U4" i="10"/>
  <c r="V3" i="10"/>
  <c r="U4" i="11"/>
  <c r="V3" i="11"/>
  <c r="U4" i="12"/>
  <c r="V3" i="12"/>
  <c r="V4" i="23" l="1"/>
  <c r="W3" i="23"/>
  <c r="V4" i="22"/>
  <c r="W3" i="22"/>
  <c r="V4" i="21"/>
  <c r="W3" i="21"/>
  <c r="V4" i="20"/>
  <c r="W3" i="20"/>
  <c r="V4" i="19"/>
  <c r="W3" i="19"/>
  <c r="V4" i="18"/>
  <c r="W3" i="18"/>
  <c r="V4" i="17"/>
  <c r="W3" i="17"/>
  <c r="V4" i="16"/>
  <c r="W3" i="16"/>
  <c r="V4" i="15"/>
  <c r="W3" i="15"/>
  <c r="V4" i="14"/>
  <c r="W3" i="14"/>
  <c r="V4" i="13"/>
  <c r="W3" i="13"/>
  <c r="V4" i="12"/>
  <c r="W3" i="12"/>
  <c r="V4" i="11"/>
  <c r="W3" i="11"/>
  <c r="V4" i="10"/>
  <c r="W3" i="10"/>
  <c r="V4" i="9"/>
  <c r="W3" i="9"/>
  <c r="V4" i="8"/>
  <c r="W3" i="8"/>
  <c r="V4" i="7"/>
  <c r="W3" i="7"/>
  <c r="V4" i="6"/>
  <c r="W3" i="6"/>
  <c r="V4" i="5"/>
  <c r="W3" i="5"/>
  <c r="V4" i="4"/>
  <c r="W3" i="4"/>
  <c r="V4" i="3"/>
  <c r="W3" i="3"/>
  <c r="V4" i="2"/>
  <c r="W3" i="2"/>
  <c r="V4" i="1"/>
  <c r="W3" i="1"/>
  <c r="I18" i="23" l="1"/>
  <c r="W4" i="23"/>
  <c r="Y14" i="23"/>
  <c r="X14" i="23" s="1"/>
  <c r="Y13" i="23"/>
  <c r="X13" i="23" s="1"/>
  <c r="Y12" i="23"/>
  <c r="X12" i="23" s="1"/>
  <c r="Y11" i="23"/>
  <c r="X11" i="23" s="1"/>
  <c r="I18" i="22"/>
  <c r="W4" i="22"/>
  <c r="Y14" i="22"/>
  <c r="X14" i="22" s="1"/>
  <c r="Y13" i="22"/>
  <c r="X13" i="22" s="1"/>
  <c r="Y12" i="22"/>
  <c r="X12" i="22" s="1"/>
  <c r="Y11" i="22"/>
  <c r="X11" i="22" s="1"/>
  <c r="I18" i="21"/>
  <c r="W4" i="21"/>
  <c r="Y14" i="21"/>
  <c r="X14" i="21" s="1"/>
  <c r="Y13" i="21"/>
  <c r="X13" i="21" s="1"/>
  <c r="Y12" i="21"/>
  <c r="X12" i="21" s="1"/>
  <c r="Y11" i="21"/>
  <c r="X11" i="21" s="1"/>
  <c r="I18" i="20"/>
  <c r="W4" i="20"/>
  <c r="Y14" i="20"/>
  <c r="X14" i="20" s="1"/>
  <c r="Y13" i="20"/>
  <c r="X13" i="20" s="1"/>
  <c r="Y12" i="20"/>
  <c r="X12" i="20" s="1"/>
  <c r="Y11" i="20"/>
  <c r="X11" i="20" s="1"/>
  <c r="I18" i="19"/>
  <c r="W4" i="19"/>
  <c r="Y14" i="19"/>
  <c r="X14" i="19" s="1"/>
  <c r="Y13" i="19"/>
  <c r="X13" i="19" s="1"/>
  <c r="Y12" i="19"/>
  <c r="X12" i="19" s="1"/>
  <c r="Y11" i="19"/>
  <c r="X11" i="19" s="1"/>
  <c r="I18" i="18"/>
  <c r="W4" i="18"/>
  <c r="Y14" i="18"/>
  <c r="X14" i="18" s="1"/>
  <c r="Y13" i="18"/>
  <c r="X13" i="18" s="1"/>
  <c r="Y12" i="18"/>
  <c r="X12" i="18" s="1"/>
  <c r="Y11" i="18"/>
  <c r="X11" i="18" s="1"/>
  <c r="I18" i="17"/>
  <c r="W4" i="17"/>
  <c r="Y14" i="17"/>
  <c r="X14" i="17" s="1"/>
  <c r="Y13" i="17"/>
  <c r="X13" i="17" s="1"/>
  <c r="Y12" i="17"/>
  <c r="X12" i="17" s="1"/>
  <c r="Y11" i="17"/>
  <c r="X11" i="17" s="1"/>
  <c r="I18" i="16"/>
  <c r="W4" i="16"/>
  <c r="Y14" i="16"/>
  <c r="X14" i="16" s="1"/>
  <c r="Y13" i="16"/>
  <c r="X13" i="16" s="1"/>
  <c r="Y12" i="16"/>
  <c r="X12" i="16" s="1"/>
  <c r="Y11" i="16"/>
  <c r="X11" i="16" s="1"/>
  <c r="I18" i="15"/>
  <c r="W4" i="15"/>
  <c r="Y14" i="15"/>
  <c r="X14" i="15" s="1"/>
  <c r="Y13" i="15"/>
  <c r="X13" i="15" s="1"/>
  <c r="Y12" i="15"/>
  <c r="X12" i="15" s="1"/>
  <c r="Y11" i="15"/>
  <c r="X11" i="15" s="1"/>
  <c r="I18" i="14"/>
  <c r="W4" i="14"/>
  <c r="Y14" i="14"/>
  <c r="X14" i="14" s="1"/>
  <c r="Y13" i="14"/>
  <c r="X13" i="14" s="1"/>
  <c r="Y12" i="14"/>
  <c r="X12" i="14" s="1"/>
  <c r="Y11" i="14"/>
  <c r="X11" i="14" s="1"/>
  <c r="I18" i="13"/>
  <c r="W4" i="13"/>
  <c r="Y14" i="13"/>
  <c r="X14" i="13" s="1"/>
  <c r="Y13" i="13"/>
  <c r="X13" i="13" s="1"/>
  <c r="Y12" i="13"/>
  <c r="X12" i="13" s="1"/>
  <c r="Y11" i="13"/>
  <c r="X11" i="13" s="1"/>
  <c r="I19" i="1"/>
  <c r="W4" i="1"/>
  <c r="Y15" i="1"/>
  <c r="X15" i="1" s="1"/>
  <c r="Y14" i="1"/>
  <c r="X14" i="1" s="1"/>
  <c r="Y13" i="1"/>
  <c r="X13" i="1" s="1"/>
  <c r="Y12" i="1"/>
  <c r="X12" i="1" s="1"/>
  <c r="I19" i="2"/>
  <c r="W4" i="2"/>
  <c r="Y15" i="2"/>
  <c r="X15" i="2" s="1"/>
  <c r="Y14" i="2"/>
  <c r="X14" i="2" s="1"/>
  <c r="Y13" i="2"/>
  <c r="X13" i="2" s="1"/>
  <c r="Y12" i="2"/>
  <c r="X12" i="2" s="1"/>
  <c r="I19" i="3"/>
  <c r="W4" i="3"/>
  <c r="Y15" i="3"/>
  <c r="X15" i="3" s="1"/>
  <c r="Y14" i="3"/>
  <c r="X14" i="3" s="1"/>
  <c r="Y13" i="3"/>
  <c r="X13" i="3" s="1"/>
  <c r="Y12" i="3"/>
  <c r="X12" i="3" s="1"/>
  <c r="I19" i="4"/>
  <c r="W4" i="4"/>
  <c r="Y15" i="4"/>
  <c r="X15" i="4" s="1"/>
  <c r="Y14" i="4"/>
  <c r="X14" i="4" s="1"/>
  <c r="Y13" i="4"/>
  <c r="X13" i="4" s="1"/>
  <c r="Y12" i="4"/>
  <c r="X12" i="4" s="1"/>
  <c r="Y11" i="4"/>
  <c r="X11" i="4" s="1"/>
  <c r="I19" i="5"/>
  <c r="W4" i="5"/>
  <c r="Y15" i="5"/>
  <c r="X15" i="5" s="1"/>
  <c r="Y14" i="5"/>
  <c r="X14" i="5" s="1"/>
  <c r="Y13" i="5"/>
  <c r="X13" i="5" s="1"/>
  <c r="Y12" i="5"/>
  <c r="X12" i="5" s="1"/>
  <c r="Y11" i="5"/>
  <c r="X11" i="5" s="1"/>
  <c r="I19" i="6"/>
  <c r="W4" i="6"/>
  <c r="Y15" i="6"/>
  <c r="X15" i="6" s="1"/>
  <c r="Y14" i="6"/>
  <c r="X14" i="6" s="1"/>
  <c r="Y13" i="6"/>
  <c r="X13" i="6" s="1"/>
  <c r="Y12" i="6"/>
  <c r="X12" i="6" s="1"/>
  <c r="Y11" i="6"/>
  <c r="X11" i="6" s="1"/>
  <c r="I19" i="7"/>
  <c r="W4" i="7"/>
  <c r="Y15" i="7"/>
  <c r="X15" i="7" s="1"/>
  <c r="Y14" i="7"/>
  <c r="X14" i="7" s="1"/>
  <c r="Y13" i="7"/>
  <c r="X13" i="7" s="1"/>
  <c r="Y12" i="7"/>
  <c r="X12" i="7" s="1"/>
  <c r="Y11" i="7"/>
  <c r="X11" i="7" s="1"/>
  <c r="I19" i="8"/>
  <c r="W4" i="8"/>
  <c r="Y15" i="8"/>
  <c r="X15" i="8" s="1"/>
  <c r="Y14" i="8"/>
  <c r="X14" i="8" s="1"/>
  <c r="Y13" i="8"/>
  <c r="X13" i="8" s="1"/>
  <c r="Y12" i="8"/>
  <c r="X12" i="8" s="1"/>
  <c r="Y11" i="8"/>
  <c r="X11" i="8" s="1"/>
  <c r="I19" i="9"/>
  <c r="W4" i="9"/>
  <c r="Y15" i="9"/>
  <c r="X15" i="9" s="1"/>
  <c r="Y14" i="9"/>
  <c r="X14" i="9" s="1"/>
  <c r="Y13" i="9"/>
  <c r="X13" i="9" s="1"/>
  <c r="Y12" i="9"/>
  <c r="X12" i="9" s="1"/>
  <c r="Y11" i="9"/>
  <c r="X11" i="9" s="1"/>
  <c r="I19" i="10"/>
  <c r="W4" i="10"/>
  <c r="Y15" i="10"/>
  <c r="X15" i="10" s="1"/>
  <c r="Y14" i="10"/>
  <c r="X14" i="10" s="1"/>
  <c r="Y13" i="10"/>
  <c r="X13" i="10" s="1"/>
  <c r="Y12" i="10"/>
  <c r="X12" i="10" s="1"/>
  <c r="Y11" i="10"/>
  <c r="X11" i="10" s="1"/>
  <c r="I19" i="11"/>
  <c r="W4" i="11"/>
  <c r="Y15" i="11"/>
  <c r="X15" i="11" s="1"/>
  <c r="Y14" i="11"/>
  <c r="X14" i="11" s="1"/>
  <c r="Y13" i="11"/>
  <c r="X13" i="11" s="1"/>
  <c r="Y12" i="11"/>
  <c r="X12" i="11" s="1"/>
  <c r="Y11" i="11"/>
  <c r="X11" i="11" s="1"/>
  <c r="I19" i="12"/>
  <c r="W4" i="12"/>
  <c r="B51" i="12"/>
  <c r="Y15" i="12"/>
  <c r="X15" i="12" s="1"/>
  <c r="Y14" i="12"/>
  <c r="X14" i="12" s="1"/>
  <c r="Y13" i="12"/>
  <c r="X13" i="12" s="1"/>
  <c r="Y12" i="12"/>
  <c r="X12" i="12" s="1"/>
  <c r="Y11" i="12"/>
  <c r="Y10" i="12"/>
  <c r="Y9" i="12"/>
  <c r="Y8" i="12"/>
  <c r="Y7" i="12"/>
  <c r="E7" i="12" s="1"/>
  <c r="Y6" i="12"/>
  <c r="Y5" i="12"/>
  <c r="I19" i="23" l="1"/>
  <c r="J18" i="23"/>
  <c r="I19" i="22"/>
  <c r="J18" i="22"/>
  <c r="I19" i="21"/>
  <c r="J18" i="21"/>
  <c r="I19" i="20"/>
  <c r="J18" i="20"/>
  <c r="I19" i="19"/>
  <c r="J18" i="19"/>
  <c r="I19" i="18"/>
  <c r="J18" i="18"/>
  <c r="I19" i="17"/>
  <c r="J18" i="17"/>
  <c r="I19" i="16"/>
  <c r="J18" i="16"/>
  <c r="I19" i="15"/>
  <c r="J18" i="15"/>
  <c r="I19" i="14"/>
  <c r="J18" i="14"/>
  <c r="I19" i="13"/>
  <c r="J18" i="13"/>
  <c r="X5" i="12"/>
  <c r="E5" i="12"/>
  <c r="X6" i="12"/>
  <c r="E6" i="12"/>
  <c r="D7" i="12"/>
  <c r="X8" i="12"/>
  <c r="E8" i="12"/>
  <c r="X9" i="12"/>
  <c r="E9" i="12"/>
  <c r="X10" i="12"/>
  <c r="E10" i="12"/>
  <c r="X11" i="12"/>
  <c r="E11" i="12"/>
  <c r="B53" i="12"/>
  <c r="C51" i="12"/>
  <c r="C53" i="12" s="1"/>
  <c r="I20" i="12"/>
  <c r="J19" i="12"/>
  <c r="I20" i="11"/>
  <c r="J19" i="11"/>
  <c r="I20" i="10"/>
  <c r="J19" i="10"/>
  <c r="I20" i="9"/>
  <c r="J19" i="9"/>
  <c r="I20" i="8"/>
  <c r="J19" i="8"/>
  <c r="I20" i="7"/>
  <c r="J19" i="7"/>
  <c r="I20" i="6"/>
  <c r="J19" i="6"/>
  <c r="I20" i="5"/>
  <c r="J19" i="5"/>
  <c r="I20" i="4"/>
  <c r="J19" i="4"/>
  <c r="I20" i="3"/>
  <c r="J19" i="3"/>
  <c r="I20" i="2"/>
  <c r="J19" i="2"/>
  <c r="I20" i="1"/>
  <c r="J19" i="1"/>
  <c r="J19" i="23" l="1"/>
  <c r="K18" i="23"/>
  <c r="J19" i="22"/>
  <c r="K18" i="22"/>
  <c r="J19" i="21"/>
  <c r="K18" i="21"/>
  <c r="J19" i="20"/>
  <c r="K18" i="20"/>
  <c r="J19" i="19"/>
  <c r="K18" i="19"/>
  <c r="J19" i="18"/>
  <c r="K18" i="18"/>
  <c r="J19" i="17"/>
  <c r="K18" i="17"/>
  <c r="J19" i="16"/>
  <c r="K18" i="16"/>
  <c r="J19" i="15"/>
  <c r="K18" i="15"/>
  <c r="J19" i="14"/>
  <c r="K18" i="14"/>
  <c r="J19" i="13"/>
  <c r="K18" i="13"/>
  <c r="J20" i="1"/>
  <c r="K19" i="1"/>
  <c r="J20" i="2"/>
  <c r="K19" i="2"/>
  <c r="J20" i="3"/>
  <c r="K19" i="3"/>
  <c r="J20" i="4"/>
  <c r="K19" i="4"/>
  <c r="J20" i="5"/>
  <c r="K19" i="5"/>
  <c r="J20" i="6"/>
  <c r="K19" i="6"/>
  <c r="J20" i="7"/>
  <c r="K19" i="7"/>
  <c r="J20" i="8"/>
  <c r="K19" i="8"/>
  <c r="J20" i="9"/>
  <c r="K19" i="9"/>
  <c r="J20" i="10"/>
  <c r="K19" i="10"/>
  <c r="J20" i="11"/>
  <c r="K19" i="11"/>
  <c r="J20" i="12"/>
  <c r="K19" i="12"/>
  <c r="D11" i="12"/>
  <c r="D10" i="12"/>
  <c r="D9" i="12"/>
  <c r="D8" i="12"/>
  <c r="D6" i="12"/>
  <c r="E16" i="12"/>
  <c r="D5" i="12"/>
  <c r="D16" i="12" s="1"/>
  <c r="K19" i="23" l="1"/>
  <c r="L18" i="23"/>
  <c r="K19" i="22"/>
  <c r="L18" i="22"/>
  <c r="K19" i="21"/>
  <c r="L18" i="21"/>
  <c r="K19" i="20"/>
  <c r="L18" i="20"/>
  <c r="K19" i="19"/>
  <c r="L18" i="19"/>
  <c r="K19" i="18"/>
  <c r="L18" i="18"/>
  <c r="K19" i="17"/>
  <c r="L18" i="17"/>
  <c r="K19" i="16"/>
  <c r="L18" i="16"/>
  <c r="K19" i="15"/>
  <c r="L18" i="15"/>
  <c r="K19" i="14"/>
  <c r="L18" i="14"/>
  <c r="K19" i="13"/>
  <c r="L18" i="13"/>
  <c r="K20" i="12"/>
  <c r="L19" i="12"/>
  <c r="K20" i="11"/>
  <c r="L19" i="11"/>
  <c r="K20" i="10"/>
  <c r="L19" i="10"/>
  <c r="K20" i="9"/>
  <c r="L19" i="9"/>
  <c r="K20" i="8"/>
  <c r="L19" i="8"/>
  <c r="K20" i="7"/>
  <c r="L19" i="7"/>
  <c r="K20" i="6"/>
  <c r="L19" i="6"/>
  <c r="K20" i="5"/>
  <c r="L19" i="5"/>
  <c r="K20" i="4"/>
  <c r="L19" i="4"/>
  <c r="K20" i="3"/>
  <c r="L19" i="3"/>
  <c r="K20" i="2"/>
  <c r="L19" i="2"/>
  <c r="K20" i="1"/>
  <c r="L19" i="1"/>
  <c r="L19" i="23" l="1"/>
  <c r="M18" i="23"/>
  <c r="L19" i="22"/>
  <c r="M18" i="22"/>
  <c r="L19" i="21"/>
  <c r="M18" i="21"/>
  <c r="L19" i="20"/>
  <c r="M18" i="20"/>
  <c r="L19" i="19"/>
  <c r="M18" i="19"/>
  <c r="L19" i="18"/>
  <c r="M18" i="18"/>
  <c r="L19" i="17"/>
  <c r="M18" i="17"/>
  <c r="L19" i="16"/>
  <c r="M18" i="16"/>
  <c r="L19" i="15"/>
  <c r="M18" i="15"/>
  <c r="L19" i="14"/>
  <c r="M18" i="14"/>
  <c r="L19" i="13"/>
  <c r="M18" i="13"/>
  <c r="L20" i="1"/>
  <c r="M19" i="1"/>
  <c r="L20" i="2"/>
  <c r="M19" i="2"/>
  <c r="L20" i="3"/>
  <c r="M19" i="3"/>
  <c r="L20" i="4"/>
  <c r="M19" i="4"/>
  <c r="L20" i="5"/>
  <c r="M19" i="5"/>
  <c r="L20" i="6"/>
  <c r="M19" i="6"/>
  <c r="L20" i="7"/>
  <c r="M19" i="7"/>
  <c r="L20" i="8"/>
  <c r="M19" i="8"/>
  <c r="L20" i="9"/>
  <c r="M19" i="9"/>
  <c r="L20" i="10"/>
  <c r="M19" i="10"/>
  <c r="L20" i="11"/>
  <c r="M19" i="11"/>
  <c r="L20" i="12"/>
  <c r="M19" i="12"/>
  <c r="M19" i="23" l="1"/>
  <c r="N18" i="23"/>
  <c r="M19" i="22"/>
  <c r="N18" i="22"/>
  <c r="M19" i="21"/>
  <c r="N18" i="21"/>
  <c r="M19" i="20"/>
  <c r="N18" i="20"/>
  <c r="M19" i="19"/>
  <c r="N18" i="19"/>
  <c r="M19" i="18"/>
  <c r="N18" i="18"/>
  <c r="M19" i="17"/>
  <c r="N18" i="17"/>
  <c r="M19" i="16"/>
  <c r="N18" i="16"/>
  <c r="M19" i="15"/>
  <c r="N18" i="15"/>
  <c r="M19" i="14"/>
  <c r="N18" i="14"/>
  <c r="M19" i="13"/>
  <c r="N18" i="13"/>
  <c r="M20" i="12"/>
  <c r="N19" i="12"/>
  <c r="M20" i="11"/>
  <c r="N19" i="11"/>
  <c r="M20" i="10"/>
  <c r="N19" i="10"/>
  <c r="M20" i="9"/>
  <c r="N19" i="9"/>
  <c r="M20" i="8"/>
  <c r="N19" i="8"/>
  <c r="M20" i="7"/>
  <c r="N19" i="7"/>
  <c r="M20" i="6"/>
  <c r="N19" i="6"/>
  <c r="M20" i="5"/>
  <c r="N19" i="5"/>
  <c r="M20" i="4"/>
  <c r="N19" i="4"/>
  <c r="M20" i="3"/>
  <c r="N19" i="3"/>
  <c r="M20" i="2"/>
  <c r="N19" i="2"/>
  <c r="M20" i="1"/>
  <c r="N19" i="1"/>
  <c r="N19" i="23" l="1"/>
  <c r="O18" i="23"/>
  <c r="N19" i="22"/>
  <c r="O18" i="22"/>
  <c r="N19" i="21"/>
  <c r="O18" i="21"/>
  <c r="N19" i="20"/>
  <c r="O18" i="20"/>
  <c r="N19" i="19"/>
  <c r="O18" i="19"/>
  <c r="N19" i="18"/>
  <c r="O18" i="18"/>
  <c r="N19" i="17"/>
  <c r="O18" i="17"/>
  <c r="N19" i="16"/>
  <c r="O18" i="16"/>
  <c r="N19" i="15"/>
  <c r="O18" i="15"/>
  <c r="N19" i="14"/>
  <c r="O18" i="14"/>
  <c r="N19" i="13"/>
  <c r="O18" i="13"/>
  <c r="N20" i="1"/>
  <c r="O19" i="1"/>
  <c r="N20" i="2"/>
  <c r="O19" i="2"/>
  <c r="N20" i="3"/>
  <c r="O19" i="3"/>
  <c r="N20" i="4"/>
  <c r="O19" i="4"/>
  <c r="N20" i="5"/>
  <c r="O19" i="5"/>
  <c r="N20" i="6"/>
  <c r="O19" i="6"/>
  <c r="N20" i="7"/>
  <c r="O19" i="7"/>
  <c r="N20" i="8"/>
  <c r="O19" i="8"/>
  <c r="N20" i="9"/>
  <c r="O19" i="9"/>
  <c r="N20" i="10"/>
  <c r="O19" i="10"/>
  <c r="N20" i="11"/>
  <c r="O19" i="11"/>
  <c r="N20" i="12"/>
  <c r="O19" i="12"/>
  <c r="O19" i="23" l="1"/>
  <c r="P18" i="23"/>
  <c r="O19" i="22"/>
  <c r="P18" i="22"/>
  <c r="O19" i="21"/>
  <c r="P18" i="21"/>
  <c r="O19" i="20"/>
  <c r="P18" i="20"/>
  <c r="O19" i="19"/>
  <c r="P18" i="19"/>
  <c r="O19" i="18"/>
  <c r="P18" i="18"/>
  <c r="O19" i="17"/>
  <c r="P18" i="17"/>
  <c r="O19" i="16"/>
  <c r="P18" i="16"/>
  <c r="O19" i="15"/>
  <c r="P18" i="15"/>
  <c r="O19" i="14"/>
  <c r="P18" i="14"/>
  <c r="O19" i="13"/>
  <c r="P18" i="13"/>
  <c r="O20" i="12"/>
  <c r="P19" i="12"/>
  <c r="O20" i="11"/>
  <c r="P19" i="11"/>
  <c r="O20" i="10"/>
  <c r="P19" i="10"/>
  <c r="O20" i="9"/>
  <c r="P19" i="9"/>
  <c r="O20" i="8"/>
  <c r="P19" i="8"/>
  <c r="O20" i="7"/>
  <c r="P19" i="7"/>
  <c r="O20" i="6"/>
  <c r="P19" i="6"/>
  <c r="O20" i="5"/>
  <c r="P19" i="5"/>
  <c r="O20" i="4"/>
  <c r="P19" i="4"/>
  <c r="O20" i="3"/>
  <c r="P19" i="3"/>
  <c r="O20" i="2"/>
  <c r="P19" i="2"/>
  <c r="O20" i="1"/>
  <c r="P19" i="1"/>
  <c r="P19" i="23" l="1"/>
  <c r="Q18" i="23"/>
  <c r="P19" i="22"/>
  <c r="Q18" i="22"/>
  <c r="P19" i="21"/>
  <c r="Q18" i="21"/>
  <c r="P19" i="20"/>
  <c r="Q18" i="20"/>
  <c r="P19" i="19"/>
  <c r="Q18" i="19"/>
  <c r="P19" i="18"/>
  <c r="Q18" i="18"/>
  <c r="P19" i="17"/>
  <c r="Q18" i="17"/>
  <c r="P19" i="16"/>
  <c r="Q18" i="16"/>
  <c r="P19" i="15"/>
  <c r="Q18" i="15"/>
  <c r="P19" i="14"/>
  <c r="Q18" i="14"/>
  <c r="P19" i="13"/>
  <c r="Q18" i="13"/>
  <c r="P20" i="1"/>
  <c r="Q19" i="1"/>
  <c r="P20" i="2"/>
  <c r="Q19" i="2"/>
  <c r="P20" i="3"/>
  <c r="Q19" i="3"/>
  <c r="P20" i="4"/>
  <c r="Q19" i="4"/>
  <c r="P20" i="5"/>
  <c r="Q19" i="5"/>
  <c r="P20" i="6"/>
  <c r="Q19" i="6"/>
  <c r="P20" i="7"/>
  <c r="Q19" i="7"/>
  <c r="P20" i="8"/>
  <c r="Q19" i="8"/>
  <c r="P20" i="9"/>
  <c r="Q19" i="9"/>
  <c r="P20" i="10"/>
  <c r="Q19" i="10"/>
  <c r="P20" i="11"/>
  <c r="Q19" i="11"/>
  <c r="P20" i="12"/>
  <c r="Q19" i="12"/>
  <c r="Q19" i="23" l="1"/>
  <c r="R18" i="23"/>
  <c r="Q19" i="22"/>
  <c r="R18" i="22"/>
  <c r="Q19" i="21"/>
  <c r="R18" i="21"/>
  <c r="Q19" i="20"/>
  <c r="R18" i="20"/>
  <c r="Q19" i="19"/>
  <c r="R18" i="19"/>
  <c r="Q19" i="18"/>
  <c r="R18" i="18"/>
  <c r="Q19" i="17"/>
  <c r="R18" i="17"/>
  <c r="Q19" i="16"/>
  <c r="R18" i="16"/>
  <c r="Q19" i="15"/>
  <c r="R18" i="15"/>
  <c r="Q19" i="14"/>
  <c r="R18" i="14"/>
  <c r="Q19" i="13"/>
  <c r="R18" i="13"/>
  <c r="Q20" i="12"/>
  <c r="R19" i="12"/>
  <c r="Q20" i="11"/>
  <c r="R19" i="11"/>
  <c r="Q20" i="10"/>
  <c r="R19" i="10"/>
  <c r="Q20" i="9"/>
  <c r="R19" i="9"/>
  <c r="Q20" i="8"/>
  <c r="R19" i="8"/>
  <c r="Q20" i="7"/>
  <c r="R19" i="7"/>
  <c r="Q20" i="6"/>
  <c r="R19" i="6"/>
  <c r="Q20" i="5"/>
  <c r="R19" i="5"/>
  <c r="Q20" i="4"/>
  <c r="R19" i="4"/>
  <c r="Q20" i="3"/>
  <c r="R19" i="3"/>
  <c r="Q20" i="2"/>
  <c r="R19" i="2"/>
  <c r="Q20" i="1"/>
  <c r="R19" i="1"/>
  <c r="R19" i="23" l="1"/>
  <c r="S18" i="23"/>
  <c r="R19" i="22"/>
  <c r="S18" i="22"/>
  <c r="R19" i="21"/>
  <c r="S18" i="21"/>
  <c r="R19" i="20"/>
  <c r="S18" i="20"/>
  <c r="R19" i="19"/>
  <c r="S18" i="19"/>
  <c r="R19" i="18"/>
  <c r="S18" i="18"/>
  <c r="R19" i="17"/>
  <c r="S18" i="17"/>
  <c r="R19" i="16"/>
  <c r="S18" i="16"/>
  <c r="R19" i="15"/>
  <c r="S18" i="15"/>
  <c r="R19" i="14"/>
  <c r="S18" i="14"/>
  <c r="R19" i="13"/>
  <c r="S18" i="13"/>
  <c r="R20" i="1"/>
  <c r="S19" i="1"/>
  <c r="R20" i="2"/>
  <c r="S19" i="2"/>
  <c r="R20" i="3"/>
  <c r="S19" i="3"/>
  <c r="R20" i="4"/>
  <c r="S19" i="4"/>
  <c r="R20" i="5"/>
  <c r="S19" i="5"/>
  <c r="R20" i="6"/>
  <c r="S19" i="6"/>
  <c r="R20" i="7"/>
  <c r="S19" i="7"/>
  <c r="R20" i="8"/>
  <c r="S19" i="8"/>
  <c r="R20" i="9"/>
  <c r="S19" i="9"/>
  <c r="R20" i="10"/>
  <c r="S19" i="10"/>
  <c r="R20" i="11"/>
  <c r="S19" i="11"/>
  <c r="B59" i="12"/>
  <c r="C59" i="12" s="1"/>
  <c r="R20" i="12"/>
  <c r="S19" i="12"/>
  <c r="S19" i="23" l="1"/>
  <c r="T18" i="23"/>
  <c r="S19" i="22"/>
  <c r="T18" i="22"/>
  <c r="S19" i="21"/>
  <c r="T18" i="21"/>
  <c r="S19" i="20"/>
  <c r="T18" i="20"/>
  <c r="S19" i="19"/>
  <c r="T18" i="19"/>
  <c r="S19" i="18"/>
  <c r="T18" i="18"/>
  <c r="S19" i="17"/>
  <c r="T18" i="17"/>
  <c r="S19" i="16"/>
  <c r="T18" i="16"/>
  <c r="S19" i="15"/>
  <c r="T18" i="15"/>
  <c r="S19" i="14"/>
  <c r="T18" i="14"/>
  <c r="S19" i="13"/>
  <c r="T18" i="13"/>
  <c r="S20" i="12"/>
  <c r="T19" i="12"/>
  <c r="S20" i="11"/>
  <c r="T19" i="11"/>
  <c r="S20" i="10"/>
  <c r="T19" i="10"/>
  <c r="S20" i="9"/>
  <c r="T19" i="9"/>
  <c r="S20" i="8"/>
  <c r="T19" i="8"/>
  <c r="S20" i="7"/>
  <c r="T19" i="7"/>
  <c r="S20" i="6"/>
  <c r="T19" i="6"/>
  <c r="S20" i="5"/>
  <c r="T19" i="5"/>
  <c r="S20" i="4"/>
  <c r="T19" i="4"/>
  <c r="S20" i="3"/>
  <c r="T19" i="3"/>
  <c r="S20" i="2"/>
  <c r="T19" i="2"/>
  <c r="S20" i="1"/>
  <c r="T19" i="1"/>
  <c r="T19" i="23" l="1"/>
  <c r="U18" i="23"/>
  <c r="T19" i="22"/>
  <c r="U18" i="22"/>
  <c r="T19" i="21"/>
  <c r="U18" i="21"/>
  <c r="T19" i="20"/>
  <c r="U18" i="20"/>
  <c r="T19" i="19"/>
  <c r="U18" i="19"/>
  <c r="T19" i="18"/>
  <c r="U18" i="18"/>
  <c r="T19" i="17"/>
  <c r="U18" i="17"/>
  <c r="T19" i="16"/>
  <c r="U18" i="16"/>
  <c r="T19" i="15"/>
  <c r="U18" i="15"/>
  <c r="T19" i="14"/>
  <c r="U18" i="14"/>
  <c r="T19" i="13"/>
  <c r="U18" i="13"/>
  <c r="T20" i="1"/>
  <c r="U19" i="1"/>
  <c r="T20" i="2"/>
  <c r="U19" i="2"/>
  <c r="T20" i="3"/>
  <c r="U19" i="3"/>
  <c r="T20" i="4"/>
  <c r="U19" i="4"/>
  <c r="T20" i="5"/>
  <c r="U19" i="5"/>
  <c r="T20" i="6"/>
  <c r="U19" i="6"/>
  <c r="T20" i="7"/>
  <c r="U19" i="7"/>
  <c r="T20" i="8"/>
  <c r="U19" i="8"/>
  <c r="T20" i="9"/>
  <c r="U19" i="9"/>
  <c r="T20" i="10"/>
  <c r="U19" i="10"/>
  <c r="T20" i="11"/>
  <c r="U19" i="11"/>
  <c r="T20" i="12"/>
  <c r="U19" i="12"/>
  <c r="U19" i="23" l="1"/>
  <c r="U19" i="22"/>
  <c r="U19" i="21"/>
  <c r="V18" i="21"/>
  <c r="U19" i="20"/>
  <c r="V18" i="20"/>
  <c r="U19" i="19"/>
  <c r="V18" i="19"/>
  <c r="U19" i="18"/>
  <c r="V18" i="18"/>
  <c r="U19" i="17"/>
  <c r="V18" i="17"/>
  <c r="U19" i="16"/>
  <c r="V18" i="16"/>
  <c r="U19" i="15"/>
  <c r="V18" i="15"/>
  <c r="U19" i="14"/>
  <c r="V18" i="14"/>
  <c r="U19" i="13"/>
  <c r="V18" i="13"/>
  <c r="U20" i="12"/>
  <c r="V19" i="12"/>
  <c r="U20" i="11"/>
  <c r="V19" i="11"/>
  <c r="U20" i="10"/>
  <c r="V19" i="10"/>
  <c r="U20" i="9"/>
  <c r="V19" i="9"/>
  <c r="U20" i="8"/>
  <c r="V19" i="8"/>
  <c r="U20" i="7"/>
  <c r="V19" i="7"/>
  <c r="U20" i="6"/>
  <c r="V19" i="6"/>
  <c r="U20" i="5"/>
  <c r="V19" i="5"/>
  <c r="U20" i="4"/>
  <c r="V19" i="4"/>
  <c r="U20" i="3"/>
  <c r="V19" i="3"/>
  <c r="U20" i="2"/>
  <c r="V19" i="2"/>
  <c r="V20" i="2" s="1"/>
  <c r="U20" i="1"/>
  <c r="V19" i="1"/>
  <c r="V19" i="21" l="1"/>
  <c r="W18" i="21"/>
  <c r="W19" i="21" s="1"/>
  <c r="V19" i="20"/>
  <c r="W18" i="20"/>
  <c r="V19" i="19"/>
  <c r="W18" i="19"/>
  <c r="W19" i="19" s="1"/>
  <c r="V19" i="18"/>
  <c r="W18" i="18"/>
  <c r="X18" i="18" s="1"/>
  <c r="X19" i="18" s="1"/>
  <c r="V19" i="17"/>
  <c r="W18" i="17"/>
  <c r="V19" i="16"/>
  <c r="W18" i="16"/>
  <c r="W19" i="16" s="1"/>
  <c r="V19" i="15"/>
  <c r="W18" i="15"/>
  <c r="X18" i="15" s="1"/>
  <c r="X19" i="15" s="1"/>
  <c r="V19" i="14"/>
  <c r="W18" i="14"/>
  <c r="V19" i="13"/>
  <c r="W18" i="13"/>
  <c r="V20" i="1"/>
  <c r="W19" i="1"/>
  <c r="V20" i="3"/>
  <c r="W19" i="3"/>
  <c r="V20" i="4"/>
  <c r="W19" i="4"/>
  <c r="W20" i="4" s="1"/>
  <c r="V20" i="5"/>
  <c r="W19" i="5"/>
  <c r="V20" i="6"/>
  <c r="W19" i="6"/>
  <c r="W20" i="6" s="1"/>
  <c r="V20" i="7"/>
  <c r="W19" i="7"/>
  <c r="V20" i="8"/>
  <c r="W19" i="8"/>
  <c r="V20" i="9"/>
  <c r="W19" i="9"/>
  <c r="W20" i="9" s="1"/>
  <c r="V20" i="10"/>
  <c r="W19" i="10"/>
  <c r="V20" i="11"/>
  <c r="W19" i="11"/>
  <c r="W20" i="11" s="1"/>
  <c r="V20" i="12"/>
  <c r="W19" i="12"/>
  <c r="W19" i="20" l="1"/>
  <c r="X18" i="20"/>
  <c r="X19" i="20" s="1"/>
  <c r="W19" i="18"/>
  <c r="W19" i="17"/>
  <c r="X18" i="17"/>
  <c r="X19" i="17" s="1"/>
  <c r="W19" i="15"/>
  <c r="W19" i="14"/>
  <c r="W19" i="13"/>
  <c r="X18" i="13"/>
  <c r="X19" i="13" s="1"/>
  <c r="W20" i="12"/>
  <c r="X19" i="12"/>
  <c r="W20" i="10"/>
  <c r="X19" i="10"/>
  <c r="X20" i="10" s="1"/>
  <c r="W20" i="8"/>
  <c r="X19" i="8"/>
  <c r="X20" i="8" s="1"/>
  <c r="W20" i="7"/>
  <c r="X19" i="7"/>
  <c r="X20" i="7" s="1"/>
  <c r="W20" i="5"/>
  <c r="X19" i="5"/>
  <c r="X20" i="5" s="1"/>
  <c r="W20" i="3"/>
  <c r="X19" i="3"/>
  <c r="X20" i="3" s="1"/>
  <c r="W20" i="1"/>
  <c r="X19" i="1"/>
  <c r="X20" i="1" s="1"/>
  <c r="X20" i="12" l="1"/>
  <c r="B58" i="12"/>
  <c r="Z27" i="12"/>
  <c r="Z26" i="12"/>
  <c r="E26" i="12" s="1"/>
  <c r="Z25" i="12"/>
  <c r="Z24" i="12"/>
  <c r="Z23" i="12"/>
  <c r="Z22" i="12"/>
  <c r="Z21" i="12"/>
  <c r="Y21" i="12" l="1"/>
  <c r="E21" i="12"/>
  <c r="Y22" i="12"/>
  <c r="E22" i="12"/>
  <c r="Y23" i="12"/>
  <c r="E23" i="12"/>
  <c r="Y24" i="12"/>
  <c r="E24" i="12"/>
  <c r="Y25" i="12"/>
  <c r="E25" i="12"/>
  <c r="D26" i="12"/>
  <c r="C41" i="12"/>
  <c r="Y27" i="12"/>
  <c r="E27" i="12"/>
  <c r="B60" i="12"/>
  <c r="C58" i="12"/>
  <c r="C60" i="12" s="1"/>
  <c r="C62" i="12" s="1"/>
  <c r="D27" i="12" l="1"/>
  <c r="C42" i="12"/>
  <c r="D25" i="12"/>
  <c r="C40" i="12"/>
  <c r="D24" i="12"/>
  <c r="C39" i="12"/>
  <c r="D23" i="12"/>
  <c r="C38" i="12"/>
  <c r="D22" i="12"/>
  <c r="C37" i="12"/>
  <c r="E32" i="12"/>
  <c r="D21" i="12"/>
  <c r="D32" i="12" s="1"/>
  <c r="C36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<sst xmlns="http://schemas.openxmlformats.org/spreadsheetml/2006/main" count="1822" uniqueCount="48">
  <si>
    <t>1st Fortnight</t>
  </si>
  <si>
    <t>Name</t>
  </si>
  <si>
    <t>Project</t>
  </si>
  <si>
    <t>On-Board Date</t>
  </si>
  <si>
    <t>Approved (Max)
Hours</t>
  </si>
  <si>
    <t>Actual</t>
  </si>
  <si>
    <t>Vacation</t>
  </si>
  <si>
    <t>Working Days</t>
  </si>
  <si>
    <t>Billable Hours</t>
  </si>
  <si>
    <t>Actual Hours</t>
  </si>
  <si>
    <t>Offshore Hours</t>
  </si>
  <si>
    <t>Onshore Hours</t>
  </si>
  <si>
    <t>Legend</t>
  </si>
  <si>
    <t>Tapan Kumar Panda</t>
  </si>
  <si>
    <t>Proofpoint</t>
  </si>
  <si>
    <t>Holiday</t>
  </si>
  <si>
    <t>Suresh Narayanaswamy Gowda</t>
  </si>
  <si>
    <t>Sudheer Vajrapu</t>
  </si>
  <si>
    <t>Weekend</t>
  </si>
  <si>
    <t>Prameela Rendeddula</t>
  </si>
  <si>
    <t>Akshata CA</t>
  </si>
  <si>
    <t>Manohara CM</t>
  </si>
  <si>
    <t>2nd Fortnight</t>
  </si>
  <si>
    <t>Total Actual Hours for the Month</t>
  </si>
  <si>
    <t>Max Billable Hours / Month</t>
  </si>
  <si>
    <t>Final Billable Hours for the Month</t>
  </si>
  <si>
    <t>Notes</t>
  </si>
  <si>
    <t>Days</t>
  </si>
  <si>
    <t>Hours</t>
  </si>
  <si>
    <t>No of weekdays</t>
  </si>
  <si>
    <t>Offshore Holidays</t>
  </si>
  <si>
    <t>Offshore working days</t>
  </si>
  <si>
    <t>Max Hours</t>
  </si>
  <si>
    <t>Billable hrs</t>
  </si>
  <si>
    <t>Actual hrs</t>
  </si>
  <si>
    <t>Offshore hrs</t>
  </si>
  <si>
    <t>Onshore hrs</t>
  </si>
  <si>
    <t>Kuldeep Khandelwal</t>
  </si>
  <si>
    <t>billing_rate</t>
  </si>
  <si>
    <t>Ashish</t>
  </si>
  <si>
    <t>Ravi</t>
  </si>
  <si>
    <t>Arbin</t>
  </si>
  <si>
    <t>Krithika</t>
  </si>
  <si>
    <t>Salini</t>
  </si>
  <si>
    <t>Raghu</t>
  </si>
  <si>
    <t>Astral</t>
  </si>
  <si>
    <t>cost</t>
  </si>
  <si>
    <t>WO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</si>
</sst>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09]mmmm\-yyyy"/>
    <numFmt numFmtId="165" formatCode="[$-409]mmmm\-yy"/>
    <numFmt numFmtId="166" formatCode="m/d"/>
    <numFmt numFmtId="167" formatCode="0;\-0;"/>
  </numFmts>
  <fonts count="30">
    <font>
      <sz val="10"/>
      <color rgb="FF000000"/>
      <name val="Arial"/>
      <scheme val="minor"/>
    </font>
    <font>
      <b/>
      <sz val="12"/>
      <color rgb="FF000000"/>
      <name val="Trispace"/>
    </font>
    <font>
      <b/>
      <sz val="12"/>
      <color rgb="FF993300"/>
      <name val="Trispace"/>
    </font>
    <font>
      <b/>
      <sz val="12"/>
      <color theme="1"/>
      <name val="Trispace"/>
    </font>
    <font>
      <b/>
      <sz val="10"/>
      <color theme="1"/>
      <name val="Trispace"/>
    </font>
    <font>
      <sz val="10"/>
      <color theme="1"/>
      <name val="Trispace"/>
    </font>
    <font>
      <u/>
      <sz val="11"/>
      <color rgb="FF0000FF"/>
      <name val="Trispace"/>
    </font>
    <font>
      <sz val="10"/>
      <color theme="1"/>
      <name val="Arial"/>
      <family val="2"/>
    </font>
    <font>
      <b/>
      <u/>
      <sz val="10"/>
      <color theme="1"/>
      <name val="Trispace"/>
    </font>
    <font>
      <sz val="10"/>
      <name val="Arial"/>
      <family val="2"/>
    </font>
    <font>
      <sz val="10"/>
      <color rgb="FF000000"/>
      <name val="Trispace"/>
    </font>
    <font>
      <sz val="10"/>
      <color rgb="FFFF0000"/>
      <name val="Trispace"/>
    </font>
    <font>
      <sz val="10"/>
      <color rgb="FFFF0000"/>
      <name val="Arial"/>
      <family val="2"/>
    </font>
    <font>
      <b/>
      <sz val="10"/>
      <color rgb="FF000000"/>
      <name val="Trispace"/>
    </font>
    <font>
      <sz val="10"/>
      <color rgb="FF000000"/>
      <name val="Arial"/>
      <family val="2"/>
    </font>
    <font>
      <b/>
      <sz val="10"/>
      <color rgb="FFFFFFFF"/>
      <name val="Trispace"/>
    </font>
    <font>
      <b/>
      <i/>
      <sz val="10"/>
      <color theme="1"/>
      <name val="Trispace"/>
    </font>
    <font>
      <b/>
      <sz val="12"/>
      <color rgb="FF000000"/>
      <name val="Aptos"/>
    </font>
    <font>
      <b/>
      <sz val="12"/>
      <color rgb="FF993300"/>
      <name val="Aptos"/>
    </font>
    <font>
      <b/>
      <sz val="12"/>
      <color theme="1"/>
      <name val="Aptos"/>
    </font>
    <font>
      <b/>
      <sz val="10"/>
      <color theme="1"/>
      <name val="Aptos"/>
    </font>
    <font>
      <sz val="10"/>
      <color theme="1"/>
      <name val="Aptos"/>
    </font>
    <font>
      <u/>
      <sz val="11"/>
      <color rgb="FF0000FF"/>
      <name val="Aptos"/>
    </font>
    <font>
      <sz val="10"/>
      <color rgb="FF000000"/>
      <name val="Aptos"/>
    </font>
    <font>
      <b/>
      <u/>
      <sz val="10"/>
      <color theme="1"/>
      <name val="Aptos"/>
    </font>
    <font>
      <sz val="10"/>
      <name val="Aptos"/>
    </font>
    <font>
      <sz val="10"/>
      <color rgb="FFFF0000"/>
      <name val="Aptos"/>
    </font>
    <font>
      <b/>
      <sz val="10"/>
      <color rgb="FF000000"/>
      <name val="Aptos"/>
    </font>
    <font>
      <b/>
      <sz val="10"/>
      <color rgb="FFFFFFFF"/>
      <name val="Aptos"/>
    </font>
    <font>
      <b/>
      <i/>
      <sz val="10"/>
      <color theme="1"/>
      <name val="Aptos"/>
    </font>
  </fonts>
  <fills count="19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99CCFF"/>
        <bgColor rgb="FF99CCFF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92D050"/>
        <bgColor rgb="FF92D050"/>
      </patternFill>
    </fill>
    <fill>
      <patternFill patternType="solid">
        <fgColor rgb="FFE5B8B7"/>
        <bgColor rgb="FFE5B8B7"/>
      </patternFill>
    </fill>
    <fill>
      <patternFill patternType="solid">
        <fgColor theme="8"/>
        <bgColor theme="8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4F81BD"/>
        <bgColor rgb="FF4F81BD"/>
      </patternFill>
    </fill>
    <fill>
      <patternFill patternType="solid">
        <fgColor rgb="FFFFC000"/>
        <bgColor rgb="FFFFC0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1" tint="0.499984740745262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75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top" wrapText="1"/>
    </xf>
    <xf numFmtId="165" fontId="4" fillId="2" borderId="1" xfId="0" applyNumberFormat="1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5" fillId="2" borderId="1" xfId="0" applyFont="1" applyFill="1" applyBorder="1" applyAlignment="1">
      <alignment horizontal="left" vertical="top"/>
    </xf>
    <xf numFmtId="0" fontId="7" fillId="0" borderId="0" xfId="0" applyFont="1"/>
    <xf numFmtId="0" fontId="8" fillId="0" borderId="0" xfId="0" applyFont="1" applyAlignment="1">
      <alignment horizontal="left" wrapText="1"/>
    </xf>
    <xf numFmtId="0" fontId="4" fillId="0" borderId="0" xfId="0" applyFont="1" applyAlignment="1">
      <alignment horizontal="left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166" fontId="4" fillId="5" borderId="5" xfId="0" applyNumberFormat="1" applyFont="1" applyFill="1" applyBorder="1" applyAlignment="1">
      <alignment horizontal="center" vertical="center"/>
    </xf>
    <xf numFmtId="0" fontId="5" fillId="0" borderId="0" xfId="0" applyFont="1"/>
    <xf numFmtId="0" fontId="4" fillId="6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center" vertical="top" wrapText="1"/>
    </xf>
    <xf numFmtId="0" fontId="4" fillId="3" borderId="5" xfId="0" applyFont="1" applyFill="1" applyBorder="1" applyAlignment="1">
      <alignment horizontal="center" vertical="top" wrapText="1"/>
    </xf>
    <xf numFmtId="0" fontId="4" fillId="3" borderId="7" xfId="0" applyFont="1" applyFill="1" applyBorder="1" applyAlignment="1">
      <alignment horizontal="center" vertical="top" wrapText="1"/>
    </xf>
    <xf numFmtId="166" fontId="5" fillId="5" borderId="5" xfId="0" applyNumberFormat="1" applyFont="1" applyFill="1" applyBorder="1" applyAlignment="1">
      <alignment horizontal="center" vertical="center"/>
    </xf>
    <xf numFmtId="167" fontId="10" fillId="5" borderId="8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/>
    <xf numFmtId="0" fontId="10" fillId="0" borderId="8" xfId="0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15" fontId="5" fillId="0" borderId="8" xfId="0" applyNumberFormat="1" applyFont="1" applyBorder="1" applyAlignment="1">
      <alignment horizontal="center" vertical="center"/>
    </xf>
    <xf numFmtId="167" fontId="4" fillId="0" borderId="8" xfId="0" applyNumberFormat="1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167" fontId="10" fillId="8" borderId="8" xfId="0" applyNumberFormat="1" applyFont="1" applyFill="1" applyBorder="1" applyAlignment="1">
      <alignment horizontal="center" vertical="center"/>
    </xf>
    <xf numFmtId="167" fontId="10" fillId="9" borderId="8" xfId="0" applyNumberFormat="1" applyFont="1" applyFill="1" applyBorder="1" applyAlignment="1">
      <alignment horizontal="center" vertical="center"/>
    </xf>
    <xf numFmtId="167" fontId="10" fillId="2" borderId="8" xfId="0" applyNumberFormat="1" applyFont="1" applyFill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5" fillId="8" borderId="10" xfId="0" applyFont="1" applyFill="1" applyBorder="1" applyAlignment="1">
      <alignment vertical="top"/>
    </xf>
    <xf numFmtId="0" fontId="14" fillId="0" borderId="0" xfId="0" applyFont="1"/>
    <xf numFmtId="0" fontId="10" fillId="0" borderId="0" xfId="0" applyFont="1"/>
    <xf numFmtId="167" fontId="10" fillId="10" borderId="8" xfId="0" applyNumberFormat="1" applyFont="1" applyFill="1" applyBorder="1" applyAlignment="1">
      <alignment horizontal="center" vertical="center"/>
    </xf>
    <xf numFmtId="15" fontId="10" fillId="0" borderId="8" xfId="0" applyNumberFormat="1" applyFont="1" applyBorder="1" applyAlignment="1">
      <alignment horizontal="center" vertical="center"/>
    </xf>
    <xf numFmtId="167" fontId="5" fillId="0" borderId="8" xfId="0" applyNumberFormat="1" applyFont="1" applyBorder="1" applyAlignment="1">
      <alignment horizontal="left" vertical="center"/>
    </xf>
    <xf numFmtId="167" fontId="5" fillId="0" borderId="8" xfId="0" applyNumberFormat="1" applyFont="1" applyBorder="1" applyAlignment="1">
      <alignment horizontal="center" vertical="center"/>
    </xf>
    <xf numFmtId="167" fontId="10" fillId="2" borderId="2" xfId="0" applyNumberFormat="1" applyFont="1" applyFill="1" applyBorder="1" applyAlignment="1">
      <alignment horizontal="center" vertical="center"/>
    </xf>
    <xf numFmtId="167" fontId="10" fillId="9" borderId="4" xfId="0" applyNumberFormat="1" applyFont="1" applyFill="1" applyBorder="1" applyAlignment="1">
      <alignment horizontal="center" vertical="center"/>
    </xf>
    <xf numFmtId="166" fontId="4" fillId="5" borderId="8" xfId="0" applyNumberFormat="1" applyFont="1" applyFill="1" applyBorder="1" applyAlignment="1">
      <alignment horizontal="center" vertical="center"/>
    </xf>
    <xf numFmtId="0" fontId="5" fillId="0" borderId="8" xfId="0" applyFont="1" applyBorder="1" applyAlignment="1">
      <alignment horizontal="left" vertical="center" wrapText="1"/>
    </xf>
    <xf numFmtId="0" fontId="5" fillId="9" borderId="5" xfId="0" applyFont="1" applyFill="1" applyBorder="1" applyAlignment="1">
      <alignment horizontal="center" vertical="center" wrapText="1"/>
    </xf>
    <xf numFmtId="167" fontId="5" fillId="2" borderId="8" xfId="0" applyNumberFormat="1" applyFont="1" applyFill="1" applyBorder="1" applyAlignment="1">
      <alignment horizontal="center" vertical="center"/>
    </xf>
    <xf numFmtId="167" fontId="5" fillId="9" borderId="8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15" fontId="5" fillId="0" borderId="0" xfId="0" applyNumberFormat="1" applyFont="1" applyAlignment="1">
      <alignment horizontal="center"/>
    </xf>
    <xf numFmtId="0" fontId="4" fillId="0" borderId="0" xfId="0" applyFont="1" applyAlignment="1">
      <alignment horizontal="center" vertical="top" wrapText="1"/>
    </xf>
    <xf numFmtId="1" fontId="4" fillId="0" borderId="0" xfId="0" applyNumberFormat="1" applyFont="1" applyAlignment="1">
      <alignment vertical="top" wrapText="1"/>
    </xf>
    <xf numFmtId="0" fontId="16" fillId="0" borderId="0" xfId="0" applyFont="1" applyAlignment="1">
      <alignment vertical="top" wrapText="1"/>
    </xf>
    <xf numFmtId="0" fontId="5" fillId="0" borderId="0" xfId="0" applyFont="1" applyAlignment="1">
      <alignment horizontal="left" vertical="top" wrapText="1"/>
    </xf>
    <xf numFmtId="0" fontId="4" fillId="12" borderId="11" xfId="0" applyFont="1" applyFill="1" applyBorder="1" applyAlignment="1">
      <alignment horizontal="center" vertical="center" wrapText="1"/>
    </xf>
    <xf numFmtId="0" fontId="4" fillId="12" borderId="12" xfId="0" applyFont="1" applyFill="1" applyBorder="1" applyAlignment="1">
      <alignment horizontal="center" vertical="center" wrapText="1"/>
    </xf>
    <xf numFmtId="0" fontId="4" fillId="12" borderId="13" xfId="0" applyFont="1" applyFill="1" applyBorder="1" applyAlignment="1">
      <alignment horizontal="center" vertical="center" wrapText="1"/>
    </xf>
    <xf numFmtId="0" fontId="10" fillId="0" borderId="14" xfId="0" applyFont="1" applyBorder="1" applyAlignment="1">
      <alignment vertical="center" wrapText="1"/>
    </xf>
    <xf numFmtId="167" fontId="13" fillId="0" borderId="8" xfId="0" applyNumberFormat="1" applyFont="1" applyBorder="1" applyAlignment="1">
      <alignment horizontal="center"/>
    </xf>
    <xf numFmtId="167" fontId="10" fillId="0" borderId="8" xfId="0" applyNumberFormat="1" applyFont="1" applyBorder="1" applyAlignment="1">
      <alignment horizontal="center"/>
    </xf>
    <xf numFmtId="167" fontId="13" fillId="6" borderId="15" xfId="0" applyNumberFormat="1" applyFont="1" applyFill="1" applyBorder="1" applyAlignment="1">
      <alignment horizontal="center"/>
    </xf>
    <xf numFmtId="0" fontId="10" fillId="0" borderId="14" xfId="0" applyFont="1" applyBorder="1" applyAlignment="1">
      <alignment horizontal="left" vertical="center" wrapText="1"/>
    </xf>
    <xf numFmtId="15" fontId="5" fillId="0" borderId="0" xfId="0" applyNumberFormat="1" applyFont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10" fillId="0" borderId="16" xfId="0" applyFont="1" applyBorder="1" applyAlignment="1">
      <alignment horizontal="left" vertical="center" wrapText="1"/>
    </xf>
    <xf numFmtId="167" fontId="13" fillId="0" borderId="17" xfId="0" applyNumberFormat="1" applyFont="1" applyBorder="1" applyAlignment="1">
      <alignment horizontal="center"/>
    </xf>
    <xf numFmtId="167" fontId="10" fillId="0" borderId="17" xfId="0" applyNumberFormat="1" applyFont="1" applyBorder="1" applyAlignment="1">
      <alignment horizontal="center"/>
    </xf>
    <xf numFmtId="167" fontId="13" fillId="6" borderId="18" xfId="0" applyNumberFormat="1" applyFont="1" applyFill="1" applyBorder="1" applyAlignment="1">
      <alignment horizontal="center"/>
    </xf>
    <xf numFmtId="167" fontId="5" fillId="0" borderId="16" xfId="0" applyNumberFormat="1" applyFont="1" applyBorder="1" applyAlignment="1">
      <alignment horizontal="left" vertical="center"/>
    </xf>
    <xf numFmtId="0" fontId="10" fillId="0" borderId="16" xfId="0" applyFont="1" applyBorder="1" applyAlignment="1">
      <alignment vertical="center" wrapText="1"/>
    </xf>
    <xf numFmtId="1" fontId="5" fillId="0" borderId="0" xfId="0" applyNumberFormat="1" applyFont="1" applyAlignment="1">
      <alignment vertical="top" wrapText="1"/>
    </xf>
    <xf numFmtId="0" fontId="4" fillId="3" borderId="14" xfId="0" applyFont="1" applyFill="1" applyBorder="1" applyAlignment="1">
      <alignment vertical="top" wrapText="1"/>
    </xf>
    <xf numFmtId="0" fontId="4" fillId="3" borderId="8" xfId="0" applyFont="1" applyFill="1" applyBorder="1" applyAlignment="1">
      <alignment horizontal="center" vertical="top" wrapText="1"/>
    </xf>
    <xf numFmtId="0" fontId="4" fillId="3" borderId="15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top" wrapText="1"/>
    </xf>
    <xf numFmtId="0" fontId="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center" vertical="top" wrapText="1"/>
    </xf>
    <xf numFmtId="0" fontId="5" fillId="0" borderId="18" xfId="0" applyFont="1" applyBorder="1" applyAlignment="1">
      <alignment horizontal="center" vertical="top" wrapText="1"/>
    </xf>
    <xf numFmtId="0" fontId="5" fillId="0" borderId="14" xfId="0" applyFont="1" applyBorder="1" applyAlignment="1">
      <alignment vertical="top" wrapText="1"/>
    </xf>
    <xf numFmtId="0" fontId="5" fillId="13" borderId="8" xfId="0" applyFont="1" applyFill="1" applyBorder="1" applyAlignment="1">
      <alignment horizontal="center" vertical="top" wrapText="1"/>
    </xf>
    <xf numFmtId="0" fontId="5" fillId="0" borderId="16" xfId="0" applyFont="1" applyBorder="1" applyAlignment="1">
      <alignment vertical="top"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left" vertical="top" wrapText="1"/>
    </xf>
    <xf numFmtId="14" fontId="7" fillId="0" borderId="0" xfId="0" applyNumberFormat="1" applyFont="1" applyAlignment="1">
      <alignment vertical="top" wrapText="1"/>
    </xf>
    <xf numFmtId="0" fontId="5" fillId="10" borderId="8" xfId="0" applyFont="1" applyFill="1" applyBorder="1"/>
    <xf numFmtId="166" fontId="4" fillId="9" borderId="8" xfId="0" applyNumberFormat="1" applyFont="1" applyFill="1" applyBorder="1" applyAlignment="1">
      <alignment horizontal="center" vertical="center"/>
    </xf>
    <xf numFmtId="167" fontId="5" fillId="8" borderId="8" xfId="0" applyNumberFormat="1" applyFont="1" applyFill="1" applyBorder="1" applyAlignment="1">
      <alignment horizontal="center" vertical="center"/>
    </xf>
    <xf numFmtId="0" fontId="10" fillId="0" borderId="24" xfId="0" applyFont="1" applyBorder="1" applyAlignment="1">
      <alignment horizontal="left" vertical="center" wrapText="1"/>
    </xf>
    <xf numFmtId="167" fontId="13" fillId="0" borderId="25" xfId="0" applyNumberFormat="1" applyFont="1" applyBorder="1" applyAlignment="1">
      <alignment horizontal="center"/>
    </xf>
    <xf numFmtId="167" fontId="10" fillId="0" borderId="25" xfId="0" applyNumberFormat="1" applyFont="1" applyBorder="1" applyAlignment="1">
      <alignment horizontal="center"/>
    </xf>
    <xf numFmtId="167" fontId="10" fillId="13" borderId="8" xfId="0" applyNumberFormat="1" applyFont="1" applyFill="1" applyBorder="1" applyAlignment="1">
      <alignment horizontal="center" vertical="center"/>
    </xf>
    <xf numFmtId="167" fontId="5" fillId="10" borderId="8" xfId="0" applyNumberFormat="1" applyFont="1" applyFill="1" applyBorder="1" applyAlignment="1">
      <alignment horizontal="center" vertical="center"/>
    </xf>
    <xf numFmtId="166" fontId="4" fillId="13" borderId="8" xfId="0" applyNumberFormat="1" applyFont="1" applyFill="1" applyBorder="1" applyAlignment="1">
      <alignment horizontal="center" vertical="center"/>
    </xf>
    <xf numFmtId="0" fontId="5" fillId="13" borderId="5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167" fontId="5" fillId="13" borderId="8" xfId="0" applyNumberFormat="1" applyFont="1" applyFill="1" applyBorder="1" applyAlignment="1">
      <alignment horizontal="center" vertical="center"/>
    </xf>
    <xf numFmtId="0" fontId="5" fillId="10" borderId="26" xfId="0" applyFont="1" applyFill="1" applyBorder="1"/>
    <xf numFmtId="167" fontId="10" fillId="9" borderId="2" xfId="0" applyNumberFormat="1" applyFont="1" applyFill="1" applyBorder="1" applyAlignment="1">
      <alignment horizontal="center" vertical="center"/>
    </xf>
    <xf numFmtId="167" fontId="5" fillId="0" borderId="25" xfId="0" applyNumberFormat="1" applyFont="1" applyBorder="1" applyAlignment="1">
      <alignment horizontal="center" vertical="center"/>
    </xf>
    <xf numFmtId="0" fontId="10" fillId="0" borderId="24" xfId="0" applyFont="1" applyBorder="1" applyAlignment="1">
      <alignment vertical="center" wrapText="1"/>
    </xf>
    <xf numFmtId="167" fontId="13" fillId="6" borderId="27" xfId="0" applyNumberFormat="1" applyFont="1" applyFill="1" applyBorder="1" applyAlignment="1">
      <alignment horizontal="center"/>
    </xf>
    <xf numFmtId="0" fontId="17" fillId="2" borderId="1" xfId="0" applyFont="1" applyFill="1" applyBorder="1" applyAlignment="1">
      <alignment vertical="center"/>
    </xf>
    <xf numFmtId="0" fontId="18" fillId="2" borderId="1" xfId="0" applyFont="1" applyFill="1" applyBorder="1" applyAlignment="1">
      <alignment vertical="center"/>
    </xf>
    <xf numFmtId="164" fontId="19" fillId="2" borderId="1" xfId="0" applyNumberFormat="1" applyFont="1" applyFill="1" applyBorder="1" applyAlignment="1">
      <alignment horizontal="center" vertical="top" wrapText="1"/>
    </xf>
    <xf numFmtId="165" fontId="20" fillId="2" borderId="1" xfId="0" applyNumberFormat="1" applyFont="1" applyFill="1" applyBorder="1" applyAlignment="1">
      <alignment horizontal="center" vertical="top" wrapText="1"/>
    </xf>
    <xf numFmtId="0" fontId="21" fillId="2" borderId="1" xfId="0" applyFont="1" applyFill="1" applyBorder="1" applyAlignment="1">
      <alignment vertical="top"/>
    </xf>
    <xf numFmtId="0" fontId="22" fillId="2" borderId="1" xfId="0" applyFont="1" applyFill="1" applyBorder="1" applyAlignment="1">
      <alignment vertical="top"/>
    </xf>
    <xf numFmtId="0" fontId="21" fillId="2" borderId="1" xfId="0" applyFont="1" applyFill="1" applyBorder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0" fillId="0" borderId="0" xfId="0" applyFont="1" applyAlignment="1">
      <alignment vertical="top" wrapText="1"/>
    </xf>
    <xf numFmtId="0" fontId="20" fillId="0" borderId="0" xfId="0" applyFont="1" applyAlignment="1">
      <alignment horizontal="left" vertical="top" wrapText="1"/>
    </xf>
    <xf numFmtId="0" fontId="21" fillId="0" borderId="0" xfId="0" applyFont="1" applyAlignment="1">
      <alignment vertical="top" wrapText="1"/>
    </xf>
    <xf numFmtId="166" fontId="20" fillId="5" borderId="5" xfId="0" applyNumberFormat="1" applyFont="1" applyFill="1" applyBorder="1" applyAlignment="1">
      <alignment horizontal="center" vertical="center"/>
    </xf>
    <xf numFmtId="0" fontId="20" fillId="6" borderId="5" xfId="0" applyFont="1" applyFill="1" applyBorder="1" applyAlignment="1">
      <alignment horizontal="center" vertical="top" wrapText="1"/>
    </xf>
    <xf numFmtId="0" fontId="20" fillId="7" borderId="5" xfId="0" applyFont="1" applyFill="1" applyBorder="1" applyAlignment="1">
      <alignment horizontal="center" vertical="top" wrapText="1"/>
    </xf>
    <xf numFmtId="0" fontId="20" fillId="3" borderId="5" xfId="0" applyFont="1" applyFill="1" applyBorder="1" applyAlignment="1">
      <alignment horizontal="center" vertical="top" wrapText="1"/>
    </xf>
    <xf numFmtId="0" fontId="20" fillId="3" borderId="7" xfId="0" applyFont="1" applyFill="1" applyBorder="1" applyAlignment="1">
      <alignment horizontal="center" vertical="top" wrapText="1"/>
    </xf>
    <xf numFmtId="166" fontId="21" fillId="5" borderId="5" xfId="0" applyNumberFormat="1" applyFont="1" applyFill="1" applyBorder="1" applyAlignment="1">
      <alignment horizontal="center" vertical="center"/>
    </xf>
    <xf numFmtId="167" fontId="23" fillId="5" borderId="8" xfId="0" applyNumberFormat="1" applyFont="1" applyFill="1" applyBorder="1" applyAlignment="1">
      <alignment horizontal="center" vertical="center"/>
    </xf>
    <xf numFmtId="0" fontId="21" fillId="5" borderId="5" xfId="0" applyFont="1" applyFill="1" applyBorder="1" applyAlignment="1">
      <alignment horizontal="center" vertical="center" wrapText="1"/>
    </xf>
    <xf numFmtId="0" fontId="19" fillId="0" borderId="9" xfId="0" applyFont="1" applyBorder="1" applyAlignment="1">
      <alignment horizontal="center" vertical="center" wrapText="1"/>
    </xf>
    <xf numFmtId="0" fontId="26" fillId="0" borderId="0" xfId="0" applyFont="1"/>
    <xf numFmtId="0" fontId="23" fillId="0" borderId="8" xfId="0" applyFont="1" applyBorder="1" applyAlignment="1">
      <alignment vertical="center" wrapText="1"/>
    </xf>
    <xf numFmtId="0" fontId="23" fillId="0" borderId="8" xfId="0" applyFont="1" applyBorder="1" applyAlignment="1">
      <alignment horizontal="center" vertical="center" wrapText="1"/>
    </xf>
    <xf numFmtId="15" fontId="21" fillId="0" borderId="8" xfId="0" applyNumberFormat="1" applyFont="1" applyBorder="1" applyAlignment="1">
      <alignment horizontal="center" vertical="center"/>
    </xf>
    <xf numFmtId="167" fontId="20" fillId="0" borderId="8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1" fillId="8" borderId="10" xfId="0" applyFont="1" applyFill="1" applyBorder="1" applyAlignment="1">
      <alignment vertical="top"/>
    </xf>
    <xf numFmtId="15" fontId="23" fillId="0" borderId="8" xfId="0" applyNumberFormat="1" applyFont="1" applyBorder="1" applyAlignment="1">
      <alignment horizontal="center" vertical="center"/>
    </xf>
    <xf numFmtId="167" fontId="21" fillId="0" borderId="8" xfId="0" applyNumberFormat="1" applyFont="1" applyBorder="1" applyAlignment="1">
      <alignment horizontal="left" vertical="center"/>
    </xf>
    <xf numFmtId="167" fontId="21" fillId="0" borderId="8" xfId="0" applyNumberFormat="1" applyFont="1" applyBorder="1" applyAlignment="1">
      <alignment horizontal="center" vertical="center"/>
    </xf>
    <xf numFmtId="166" fontId="20" fillId="5" borderId="8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left" vertical="center" wrapText="1"/>
    </xf>
    <xf numFmtId="0" fontId="23" fillId="0" borderId="0" xfId="0" applyFont="1" applyAlignment="1">
      <alignment horizontal="center" vertical="center" wrapText="1"/>
    </xf>
    <xf numFmtId="15" fontId="21" fillId="0" borderId="0" xfId="0" applyNumberFormat="1" applyFont="1" applyAlignment="1">
      <alignment horizontal="center"/>
    </xf>
    <xf numFmtId="0" fontId="20" fillId="0" borderId="0" xfId="0" applyFont="1" applyAlignment="1">
      <alignment horizontal="center" vertical="top" wrapText="1"/>
    </xf>
    <xf numFmtId="1" fontId="20" fillId="0" borderId="0" xfId="0" applyNumberFormat="1" applyFont="1" applyAlignment="1">
      <alignment vertical="top" wrapText="1"/>
    </xf>
    <xf numFmtId="0" fontId="29" fillId="0" borderId="0" xfId="0" applyFont="1" applyAlignment="1">
      <alignment vertical="top" wrapText="1"/>
    </xf>
    <xf numFmtId="0" fontId="21" fillId="0" borderId="0" xfId="0" applyFont="1" applyAlignment="1">
      <alignment horizontal="left" vertical="top" wrapText="1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12" xfId="0" applyFont="1" applyFill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/>
    </xf>
    <xf numFmtId="0" fontId="23" fillId="0" borderId="14" xfId="0" applyFont="1" applyBorder="1" applyAlignment="1">
      <alignment vertical="center" wrapText="1"/>
    </xf>
    <xf numFmtId="167" fontId="27" fillId="0" borderId="8" xfId="0" applyNumberFormat="1" applyFont="1" applyBorder="1" applyAlignment="1">
      <alignment horizontal="center"/>
    </xf>
    <xf numFmtId="167" fontId="23" fillId="0" borderId="8" xfId="0" applyNumberFormat="1" applyFont="1" applyBorder="1" applyAlignment="1">
      <alignment horizontal="center"/>
    </xf>
    <xf numFmtId="167" fontId="27" fillId="6" borderId="15" xfId="0" applyNumberFormat="1" applyFont="1" applyFill="1" applyBorder="1" applyAlignment="1">
      <alignment horizontal="center"/>
    </xf>
    <xf numFmtId="0" fontId="23" fillId="0" borderId="14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167" fontId="27" fillId="0" borderId="17" xfId="0" applyNumberFormat="1" applyFont="1" applyBorder="1" applyAlignment="1">
      <alignment horizontal="center"/>
    </xf>
    <xf numFmtId="167" fontId="23" fillId="0" borderId="17" xfId="0" applyNumberFormat="1" applyFont="1" applyBorder="1" applyAlignment="1">
      <alignment horizontal="center"/>
    </xf>
    <xf numFmtId="167" fontId="27" fillId="6" borderId="18" xfId="0" applyNumberFormat="1" applyFont="1" applyFill="1" applyBorder="1" applyAlignment="1">
      <alignment horizontal="center"/>
    </xf>
    <xf numFmtId="167" fontId="21" fillId="0" borderId="16" xfId="0" applyNumberFormat="1" applyFont="1" applyBorder="1" applyAlignment="1">
      <alignment horizontal="left" vertical="center"/>
    </xf>
    <xf numFmtId="0" fontId="23" fillId="0" borderId="16" xfId="0" applyFont="1" applyBorder="1" applyAlignment="1">
      <alignment vertical="center" wrapText="1"/>
    </xf>
    <xf numFmtId="1" fontId="21" fillId="0" borderId="0" xfId="0" applyNumberFormat="1" applyFont="1" applyAlignment="1">
      <alignment vertical="top" wrapText="1"/>
    </xf>
    <xf numFmtId="0" fontId="20" fillId="3" borderId="14" xfId="0" applyFont="1" applyFill="1" applyBorder="1" applyAlignment="1">
      <alignment vertical="top" wrapText="1"/>
    </xf>
    <xf numFmtId="0" fontId="20" fillId="3" borderId="8" xfId="0" applyFont="1" applyFill="1" applyBorder="1" applyAlignment="1">
      <alignment horizontal="center" vertical="top" wrapText="1"/>
    </xf>
    <xf numFmtId="0" fontId="20" fillId="3" borderId="15" xfId="0" applyFont="1" applyFill="1" applyBorder="1" applyAlignment="1">
      <alignment horizontal="center" vertical="top" wrapText="1"/>
    </xf>
    <xf numFmtId="0" fontId="21" fillId="0" borderId="14" xfId="0" applyFont="1" applyBorder="1" applyAlignment="1">
      <alignment horizontal="left" vertical="top" wrapText="1"/>
    </xf>
    <xf numFmtId="0" fontId="21" fillId="0" borderId="8" xfId="0" applyFont="1" applyBorder="1" applyAlignment="1">
      <alignment horizontal="center" vertical="top" wrapText="1"/>
    </xf>
    <xf numFmtId="0" fontId="21" fillId="0" borderId="0" xfId="0" applyFont="1" applyAlignment="1">
      <alignment horizontal="left"/>
    </xf>
    <xf numFmtId="0" fontId="23" fillId="0" borderId="8" xfId="0" applyFont="1" applyBorder="1" applyAlignment="1">
      <alignment horizontal="center" vertical="top" wrapText="1"/>
    </xf>
    <xf numFmtId="0" fontId="21" fillId="0" borderId="15" xfId="0" applyFont="1" applyBorder="1" applyAlignment="1">
      <alignment horizontal="center" vertical="top" wrapText="1"/>
    </xf>
    <xf numFmtId="0" fontId="21" fillId="0" borderId="17" xfId="0" applyFont="1" applyBorder="1" applyAlignment="1">
      <alignment horizontal="center" vertical="top" wrapText="1"/>
    </xf>
    <xf numFmtId="0" fontId="21" fillId="0" borderId="18" xfId="0" applyFont="1" applyBorder="1" applyAlignment="1">
      <alignment horizontal="center" vertical="top" wrapText="1"/>
    </xf>
    <xf numFmtId="0" fontId="21" fillId="0" borderId="14" xfId="0" applyFont="1" applyBorder="1" applyAlignment="1">
      <alignment vertical="top" wrapText="1"/>
    </xf>
    <xf numFmtId="0" fontId="21" fillId="13" borderId="8" xfId="0" applyFont="1" applyFill="1" applyBorder="1" applyAlignment="1">
      <alignment horizontal="center" vertical="top" wrapText="1"/>
    </xf>
    <xf numFmtId="0" fontId="21" fillId="0" borderId="16" xfId="0" applyFont="1" applyBorder="1" applyAlignment="1">
      <alignment vertical="top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vertical="top" wrapText="1"/>
    </xf>
    <xf numFmtId="167" fontId="23" fillId="14" borderId="8" xfId="0" applyNumberFormat="1" applyFont="1" applyFill="1" applyBorder="1" applyAlignment="1">
      <alignment horizontal="center" vertical="center"/>
    </xf>
    <xf numFmtId="167" fontId="23" fillId="14" borderId="2" xfId="0" applyNumberFormat="1" applyFont="1" applyFill="1" applyBorder="1" applyAlignment="1">
      <alignment horizontal="center" vertical="center"/>
    </xf>
    <xf numFmtId="167" fontId="23" fillId="14" borderId="4" xfId="0" applyNumberFormat="1" applyFont="1" applyFill="1" applyBorder="1" applyAlignment="1">
      <alignment horizontal="center" vertical="center"/>
    </xf>
    <xf numFmtId="167" fontId="21" fillId="14" borderId="8" xfId="0" applyNumberFormat="1" applyFont="1" applyFill="1" applyBorder="1" applyAlignment="1">
      <alignment horizontal="center" vertical="center"/>
    </xf>
    <xf numFmtId="0" fontId="21" fillId="10" borderId="26" xfId="0" applyFont="1" applyFill="1" applyBorder="1"/>
    <xf numFmtId="167" fontId="23" fillId="15" borderId="8" xfId="0" applyNumberFormat="1" applyFont="1" applyFill="1" applyBorder="1" applyAlignment="1">
      <alignment horizontal="center" vertical="center"/>
    </xf>
    <xf numFmtId="167" fontId="23" fillId="16" borderId="8" xfId="0" applyNumberFormat="1" applyFont="1" applyFill="1" applyBorder="1" applyAlignment="1">
      <alignment horizontal="center" vertical="center"/>
    </xf>
    <xf numFmtId="167" fontId="23" fillId="14" borderId="5" xfId="0" applyNumberFormat="1" applyFont="1" applyFill="1" applyBorder="1" applyAlignment="1">
      <alignment horizontal="center" vertical="center"/>
    </xf>
    <xf numFmtId="0" fontId="28" fillId="11" borderId="25" xfId="0" applyFont="1" applyFill="1" applyBorder="1" applyAlignment="1">
      <alignment vertical="top" wrapText="1"/>
    </xf>
    <xf numFmtId="167" fontId="28" fillId="11" borderId="25" xfId="0" applyNumberFormat="1" applyFont="1" applyFill="1" applyBorder="1" applyAlignment="1">
      <alignment horizontal="center" vertical="center" wrapText="1"/>
    </xf>
    <xf numFmtId="0" fontId="28" fillId="11" borderId="25" xfId="0" applyFont="1" applyFill="1" applyBorder="1" applyAlignment="1">
      <alignment horizontal="center" vertical="center" wrapText="1"/>
    </xf>
    <xf numFmtId="15" fontId="28" fillId="11" borderId="25" xfId="0" applyNumberFormat="1" applyFont="1" applyFill="1" applyBorder="1" applyAlignment="1">
      <alignment horizontal="center"/>
    </xf>
    <xf numFmtId="167" fontId="10" fillId="2" borderId="5" xfId="0" applyNumberFormat="1" applyFont="1" applyFill="1" applyBorder="1" applyAlignment="1">
      <alignment horizontal="center" vertical="center"/>
    </xf>
    <xf numFmtId="0" fontId="15" fillId="11" borderId="25" xfId="0" applyFont="1" applyFill="1" applyBorder="1" applyAlignment="1">
      <alignment vertical="top" wrapText="1"/>
    </xf>
    <xf numFmtId="167" fontId="15" fillId="11" borderId="25" xfId="0" applyNumberFormat="1" applyFont="1" applyFill="1" applyBorder="1" applyAlignment="1">
      <alignment horizontal="center" vertical="center" wrapText="1"/>
    </xf>
    <xf numFmtId="0" fontId="15" fillId="11" borderId="25" xfId="0" applyFont="1" applyFill="1" applyBorder="1" applyAlignment="1">
      <alignment horizontal="center" vertical="center" wrapText="1"/>
    </xf>
    <xf numFmtId="15" fontId="15" fillId="11" borderId="25" xfId="0" applyNumberFormat="1" applyFont="1" applyFill="1" applyBorder="1" applyAlignment="1">
      <alignment horizontal="center"/>
    </xf>
    <xf numFmtId="167" fontId="10" fillId="10" borderId="5" xfId="0" applyNumberFormat="1" applyFont="1" applyFill="1" applyBorder="1" applyAlignment="1">
      <alignment horizontal="center" vertical="center"/>
    </xf>
    <xf numFmtId="167" fontId="10" fillId="9" borderId="5" xfId="0" applyNumberFormat="1" applyFont="1" applyFill="1" applyBorder="1" applyAlignment="1">
      <alignment horizontal="center" vertical="center"/>
    </xf>
    <xf numFmtId="167" fontId="23" fillId="17" borderId="8" xfId="0" applyNumberFormat="1" applyFont="1" applyFill="1" applyBorder="1" applyAlignment="1">
      <alignment horizontal="center" vertical="center"/>
    </xf>
    <xf numFmtId="167" fontId="21" fillId="17" borderId="8" xfId="0" applyNumberFormat="1" applyFont="1" applyFill="1" applyBorder="1" applyAlignment="1">
      <alignment horizontal="center" vertical="center"/>
    </xf>
    <xf numFmtId="0" fontId="21" fillId="17" borderId="5" xfId="0" applyFont="1" applyFill="1" applyBorder="1" applyAlignment="1">
      <alignment horizontal="center" vertical="center" wrapText="1"/>
    </xf>
    <xf numFmtId="0" fontId="21" fillId="17" borderId="10" xfId="0" applyFont="1" applyFill="1" applyBorder="1" applyAlignment="1">
      <alignment vertical="top"/>
    </xf>
    <xf numFmtId="0" fontId="21" fillId="14" borderId="5" xfId="0" applyFont="1" applyFill="1" applyBorder="1" applyAlignment="1">
      <alignment horizontal="center" vertical="center" wrapText="1"/>
    </xf>
    <xf numFmtId="167" fontId="23" fillId="17" borderId="5" xfId="0" applyNumberFormat="1" applyFont="1" applyFill="1" applyBorder="1" applyAlignment="1">
      <alignment horizontal="center" vertical="center"/>
    </xf>
    <xf numFmtId="167" fontId="23" fillId="17" borderId="4" xfId="0" applyNumberFormat="1" applyFont="1" applyFill="1" applyBorder="1" applyAlignment="1">
      <alignment horizontal="center" vertical="center"/>
    </xf>
    <xf numFmtId="167" fontId="23" fillId="17" borderId="2" xfId="0" applyNumberFormat="1" applyFont="1" applyFill="1" applyBorder="1" applyAlignment="1">
      <alignment horizontal="center" vertical="center"/>
    </xf>
    <xf numFmtId="167" fontId="23" fillId="0" borderId="8" xfId="0" applyNumberFormat="1" applyFont="1" applyBorder="1" applyAlignment="1">
      <alignment horizontal="center" vertical="center"/>
    </xf>
    <xf numFmtId="167" fontId="23" fillId="0" borderId="2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top" wrapText="1"/>
    </xf>
    <xf numFmtId="0" fontId="21" fillId="0" borderId="1" xfId="0" applyFont="1" applyBorder="1"/>
    <xf numFmtId="0" fontId="23" fillId="0" borderId="24" xfId="0" applyFont="1" applyBorder="1" applyAlignment="1">
      <alignment vertical="center" wrapText="1"/>
    </xf>
    <xf numFmtId="167" fontId="27" fillId="0" borderId="25" xfId="0" applyNumberFormat="1" applyFont="1" applyBorder="1" applyAlignment="1">
      <alignment horizontal="center"/>
    </xf>
    <xf numFmtId="167" fontId="23" fillId="0" borderId="25" xfId="0" applyNumberFormat="1" applyFont="1" applyBorder="1" applyAlignment="1">
      <alignment horizontal="center"/>
    </xf>
    <xf numFmtId="167" fontId="27" fillId="6" borderId="27" xfId="0" applyNumberFormat="1" applyFont="1" applyFill="1" applyBorder="1" applyAlignment="1">
      <alignment horizontal="center"/>
    </xf>
    <xf numFmtId="0" fontId="23" fillId="0" borderId="28" xfId="0" applyFont="1" applyBorder="1" applyAlignment="1">
      <alignment horizontal="left" vertical="center" wrapText="1"/>
    </xf>
    <xf numFmtId="167" fontId="27" fillId="0" borderId="5" xfId="0" applyNumberFormat="1" applyFont="1" applyBorder="1" applyAlignment="1">
      <alignment horizontal="center"/>
    </xf>
    <xf numFmtId="167" fontId="23" fillId="0" borderId="5" xfId="0" applyNumberFormat="1" applyFont="1" applyBorder="1" applyAlignment="1">
      <alignment horizontal="center"/>
    </xf>
    <xf numFmtId="167" fontId="27" fillId="6" borderId="29" xfId="0" applyNumberFormat="1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 vertical="top" wrapText="1"/>
    </xf>
    <xf numFmtId="0" fontId="20" fillId="7" borderId="8" xfId="0" applyFont="1" applyFill="1" applyBorder="1" applyAlignment="1">
      <alignment horizontal="center" vertical="top" wrapText="1"/>
    </xf>
    <xf numFmtId="166" fontId="21" fillId="5" borderId="8" xfId="0" applyNumberFormat="1" applyFont="1" applyFill="1" applyBorder="1" applyAlignment="1">
      <alignment horizontal="center" vertical="center"/>
    </xf>
    <xf numFmtId="0" fontId="21" fillId="5" borderId="8" xfId="0" applyFont="1" applyFill="1" applyBorder="1" applyAlignment="1">
      <alignment horizontal="center" vertical="center" wrapText="1"/>
    </xf>
    <xf numFmtId="0" fontId="28" fillId="11" borderId="8" xfId="0" applyFont="1" applyFill="1" applyBorder="1" applyAlignment="1">
      <alignment vertical="top" wrapText="1"/>
    </xf>
    <xf numFmtId="167" fontId="28" fillId="11" borderId="8" xfId="0" applyNumberFormat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left" wrapText="1"/>
    </xf>
    <xf numFmtId="0" fontId="20" fillId="0" borderId="1" xfId="0" applyFont="1" applyBorder="1" applyAlignment="1">
      <alignment horizontal="left" wrapText="1"/>
    </xf>
    <xf numFmtId="0" fontId="20" fillId="0" borderId="1" xfId="0" applyFont="1" applyBorder="1" applyAlignment="1">
      <alignment vertical="top" wrapText="1"/>
    </xf>
    <xf numFmtId="0" fontId="28" fillId="11" borderId="8" xfId="0" applyFont="1" applyFill="1" applyBorder="1" applyAlignment="1">
      <alignment horizontal="center" vertical="center" wrapText="1"/>
    </xf>
    <xf numFmtId="15" fontId="28" fillId="11" borderId="8" xfId="0" applyNumberFormat="1" applyFont="1" applyFill="1" applyBorder="1" applyAlignment="1">
      <alignment horizontal="center"/>
    </xf>
    <xf numFmtId="0" fontId="23" fillId="0" borderId="1" xfId="0" applyFont="1" applyBorder="1" applyAlignment="1">
      <alignment horizontal="center" vertical="center" wrapText="1"/>
    </xf>
    <xf numFmtId="15" fontId="21" fillId="0" borderId="1" xfId="0" applyNumberFormat="1" applyFont="1" applyBorder="1" applyAlignment="1">
      <alignment horizontal="center"/>
    </xf>
    <xf numFmtId="0" fontId="20" fillId="0" borderId="1" xfId="0" applyFont="1" applyBorder="1" applyAlignment="1">
      <alignment horizontal="center" vertical="top" wrapText="1"/>
    </xf>
    <xf numFmtId="1" fontId="20" fillId="0" borderId="1" xfId="0" applyNumberFormat="1" applyFont="1" applyBorder="1" applyAlignment="1">
      <alignment vertical="top" wrapText="1"/>
    </xf>
    <xf numFmtId="0" fontId="29" fillId="0" borderId="1" xfId="0" applyFont="1" applyBorder="1" applyAlignment="1">
      <alignment vertical="top" wrapText="1"/>
    </xf>
    <xf numFmtId="167" fontId="21" fillId="15" borderId="8" xfId="0" applyNumberFormat="1" applyFont="1" applyFill="1" applyBorder="1" applyAlignment="1">
      <alignment horizontal="center" vertical="center"/>
    </xf>
    <xf numFmtId="167" fontId="21" fillId="16" borderId="8" xfId="0" applyNumberFormat="1" applyFont="1" applyFill="1" applyBorder="1" applyAlignment="1">
      <alignment horizontal="center" vertical="center"/>
    </xf>
    <xf numFmtId="0" fontId="21" fillId="10" borderId="30" xfId="0" applyFont="1" applyFill="1" applyBorder="1"/>
    <xf numFmtId="0" fontId="26" fillId="0" borderId="1" xfId="0" applyFont="1" applyBorder="1"/>
    <xf numFmtId="0" fontId="21" fillId="8" borderId="31" xfId="0" applyFont="1" applyFill="1" applyBorder="1" applyAlignment="1">
      <alignment vertical="top"/>
    </xf>
    <xf numFmtId="0" fontId="19" fillId="0" borderId="32" xfId="0" applyFont="1" applyBorder="1" applyAlignment="1">
      <alignment horizontal="center" vertical="center" wrapText="1"/>
    </xf>
    <xf numFmtId="167" fontId="21" fillId="14" borderId="2" xfId="0" applyNumberFormat="1" applyFont="1" applyFill="1" applyBorder="1" applyAlignment="1">
      <alignment horizontal="center" vertical="center"/>
    </xf>
    <xf numFmtId="167" fontId="21" fillId="17" borderId="4" xfId="0" applyNumberFormat="1" applyFont="1" applyFill="1" applyBorder="1" applyAlignment="1">
      <alignment horizontal="center" vertical="center"/>
    </xf>
    <xf numFmtId="167" fontId="21" fillId="14" borderId="5" xfId="0" applyNumberFormat="1" applyFont="1" applyFill="1" applyBorder="1" applyAlignment="1">
      <alignment horizontal="center" vertical="center"/>
    </xf>
    <xf numFmtId="167" fontId="21" fillId="14" borderId="25" xfId="0" applyNumberFormat="1" applyFont="1" applyFill="1" applyBorder="1" applyAlignment="1">
      <alignment horizontal="center" vertical="center"/>
    </xf>
    <xf numFmtId="167" fontId="21" fillId="18" borderId="8" xfId="0" applyNumberFormat="1" applyFont="1" applyFill="1" applyBorder="1" applyAlignment="1">
      <alignment horizontal="center" vertical="center"/>
    </xf>
    <xf numFmtId="0" fontId="20" fillId="12" borderId="34" xfId="0" applyFont="1" applyFill="1" applyBorder="1" applyAlignment="1">
      <alignment horizontal="center" vertical="center" wrapText="1"/>
    </xf>
    <xf numFmtId="167" fontId="27" fillId="6" borderId="2" xfId="0" applyNumberFormat="1" applyFont="1" applyFill="1" applyBorder="1" applyAlignment="1">
      <alignment horizontal="center"/>
    </xf>
    <xf numFmtId="167" fontId="27" fillId="6" borderId="7" xfId="0" applyNumberFormat="1" applyFont="1" applyFill="1" applyBorder="1" applyAlignment="1">
      <alignment horizontal="center"/>
    </xf>
    <xf numFmtId="167" fontId="27" fillId="6" borderId="35" xfId="0" applyNumberFormat="1" applyFont="1" applyFill="1" applyBorder="1" applyAlignment="1">
      <alignment horizontal="center"/>
    </xf>
    <xf numFmtId="0" fontId="21" fillId="0" borderId="33" xfId="0" applyFont="1" applyBorder="1"/>
    <xf numFmtId="0" fontId="21" fillId="0" borderId="33" xfId="0" applyFont="1" applyBorder="1" applyAlignment="1">
      <alignment vertical="top" wrapText="1"/>
    </xf>
    <xf numFmtId="0" fontId="20" fillId="3" borderId="5" xfId="0" applyFont="1" applyFill="1" applyBorder="1" applyAlignment="1">
      <alignment horizontal="center" vertical="center" wrapText="1"/>
    </xf>
    <xf numFmtId="0" fontId="25" fillId="0" borderId="6" xfId="0" applyFont="1" applyBorder="1"/>
    <xf numFmtId="0" fontId="20" fillId="0" borderId="19" xfId="0" applyFont="1" applyBorder="1" applyAlignment="1">
      <alignment horizontal="left" vertical="top" wrapText="1"/>
    </xf>
    <xf numFmtId="0" fontId="25" fillId="0" borderId="20" xfId="0" applyFont="1" applyBorder="1"/>
    <xf numFmtId="0" fontId="25" fillId="0" borderId="21" xfId="0" applyFont="1" applyBorder="1"/>
    <xf numFmtId="0" fontId="20" fillId="4" borderId="2" xfId="0" applyFont="1" applyFill="1" applyBorder="1" applyAlignment="1">
      <alignment horizontal="center" vertical="center" wrapText="1"/>
    </xf>
    <xf numFmtId="0" fontId="25" fillId="0" borderId="3" xfId="0" applyFont="1" applyBorder="1"/>
    <xf numFmtId="0" fontId="25" fillId="0" borderId="4" xfId="0" applyFont="1" applyBorder="1"/>
    <xf numFmtId="0" fontId="20" fillId="3" borderId="8" xfId="0" applyFont="1" applyFill="1" applyBorder="1" applyAlignment="1">
      <alignment horizontal="center" vertical="center" wrapText="1"/>
    </xf>
    <xf numFmtId="0" fontId="25" fillId="0" borderId="8" xfId="0" applyFont="1" applyBorder="1"/>
    <xf numFmtId="0" fontId="20" fillId="4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9" fillId="0" borderId="6" xfId="0" applyFont="1" applyBorder="1"/>
    <xf numFmtId="0" fontId="4" fillId="0" borderId="19" xfId="0" applyFont="1" applyBorder="1" applyAlignment="1">
      <alignment horizontal="left" vertical="top" wrapText="1"/>
    </xf>
    <xf numFmtId="0" fontId="9" fillId="0" borderId="20" xfId="0" applyFont="1" applyBorder="1"/>
    <xf numFmtId="0" fontId="9" fillId="0" borderId="21" xfId="0" applyFont="1" applyBorder="1"/>
    <xf numFmtId="0" fontId="4" fillId="4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9" fillId="0" borderId="4" xfId="0" applyFont="1" applyBorder="1"/>
    <xf numFmtId="167" fontId="23" fillId="0" borderId="8" xfId="0" applyNumberFormat="1" applyFont="1" applyFill="1" applyBorder="1" applyAlignment="1">
      <alignment horizontal="center" vertical="center"/>
    </xf>
    <xf numFmtId="167" fontId="21" fillId="0" borderId="8" xfId="0" applyNumberFormat="1" applyFont="1" applyFill="1" applyBorder="1" applyAlignment="1">
      <alignment horizontal="center" vertical="center"/>
    </xf>
    <xf numFmtId="0" fontId="21" fillId="0" borderId="30" xfId="0" applyFont="1" applyFill="1" applyBorder="1" applyAlignment="1">
      <alignment horizontal="center"/>
    </xf>
    <xf numFmtId="0" fontId="21" fillId="0" borderId="3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48C35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C44-34AE-449A-BC8F-B6ADA3E1EE45}">
  <sheetPr>
    <tabColor rgb="FFFFFF00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45809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45809</v>
      </c>
      <c r="J3" s="121">
        <f t="shared" ref="J3:W3" si="0">I3+1</f>
        <v>45810</v>
      </c>
      <c r="K3" s="121">
        <f t="shared" si="0"/>
        <v>45811</v>
      </c>
      <c r="L3" s="121">
        <f t="shared" si="0"/>
        <v>45812</v>
      </c>
      <c r="M3" s="121">
        <f t="shared" si="0"/>
        <v>45813</v>
      </c>
      <c r="N3" s="121">
        <f t="shared" si="0"/>
        <v>45814</v>
      </c>
      <c r="O3" s="121">
        <f t="shared" si="0"/>
        <v>45815</v>
      </c>
      <c r="P3" s="121">
        <f t="shared" si="0"/>
        <v>45816</v>
      </c>
      <c r="Q3" s="121">
        <f t="shared" si="0"/>
        <v>45817</v>
      </c>
      <c r="R3" s="121">
        <f t="shared" si="0"/>
        <v>45818</v>
      </c>
      <c r="S3" s="121">
        <f t="shared" si="0"/>
        <v>45819</v>
      </c>
      <c r="T3" s="121">
        <f t="shared" si="0"/>
        <v>45820</v>
      </c>
      <c r="U3" s="121">
        <f t="shared" si="0"/>
        <v>45821</v>
      </c>
      <c r="V3" s="121">
        <f t="shared" si="0"/>
        <v>45822</v>
      </c>
      <c r="W3" s="121">
        <f t="shared" si="0"/>
        <v>45823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128" t="str">
        <f t="shared" si="1"/>
        <v>Wed</v>
      </c>
      <c r="M4" s="128" t="str">
        <f t="shared" si="1"/>
        <v>Thu</v>
      </c>
      <c r="N4" s="126" t="str">
        <f t="shared" si="1"/>
        <v>Fri</v>
      </c>
      <c r="O4" s="126" t="str">
        <f t="shared" si="1"/>
        <v>Sat</v>
      </c>
      <c r="P4" s="128" t="str">
        <f t="shared" si="1"/>
        <v>Sun</v>
      </c>
      <c r="Q4" s="128" t="str">
        <f t="shared" si="1"/>
        <v>Mon</v>
      </c>
      <c r="R4" s="128" t="str">
        <f t="shared" si="1"/>
        <v>Tue</v>
      </c>
      <c r="S4" s="128" t="str">
        <f t="shared" si="1"/>
        <v>Wed</v>
      </c>
      <c r="T4" s="128" t="str">
        <f t="shared" si="1"/>
        <v>Thu</v>
      </c>
      <c r="U4" s="128" t="str">
        <f t="shared" si="1"/>
        <v>Fri</v>
      </c>
      <c r="V4" s="128" t="str">
        <f t="shared" si="1"/>
        <v>Sat</v>
      </c>
      <c r="W4" s="128" t="str">
        <f t="shared" si="1"/>
        <v>Sun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72</v>
      </c>
      <c r="G5" s="134">
        <f t="shared" ref="G5:G10" si="5">SUM(I5:W5)</f>
        <v>72</v>
      </c>
      <c r="H5" s="135">
        <v>0</v>
      </c>
      <c r="I5" s="199"/>
      <c r="J5" s="180">
        <v>8</v>
      </c>
      <c r="K5" s="207">
        <v>8</v>
      </c>
      <c r="L5" s="186"/>
      <c r="M5" s="180">
        <v>8</v>
      </c>
      <c r="N5" s="180">
        <v>8</v>
      </c>
      <c r="O5" s="199"/>
      <c r="P5" s="199"/>
      <c r="Q5" s="180">
        <v>8</v>
      </c>
      <c r="R5" s="207">
        <v>8</v>
      </c>
      <c r="S5" s="207">
        <v>8</v>
      </c>
      <c r="T5" s="180">
        <v>8</v>
      </c>
      <c r="U5" s="180">
        <v>8</v>
      </c>
      <c r="V5" s="199"/>
      <c r="W5" s="199"/>
      <c r="X5" s="134">
        <f>Y5-COUNTA(I5:W5)</f>
        <v>1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80">
        <v>8</v>
      </c>
      <c r="K6" s="207">
        <v>8</v>
      </c>
      <c r="L6" s="207">
        <v>8</v>
      </c>
      <c r="M6" s="180">
        <v>8</v>
      </c>
      <c r="N6" s="180">
        <v>8</v>
      </c>
      <c r="O6" s="199"/>
      <c r="P6" s="199"/>
      <c r="Q6" s="180">
        <v>8</v>
      </c>
      <c r="R6" s="207">
        <v>8</v>
      </c>
      <c r="S6" s="207">
        <v>8</v>
      </c>
      <c r="T6" s="180">
        <v>8</v>
      </c>
      <c r="U6" s="180">
        <v>8</v>
      </c>
      <c r="V6" s="199"/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199"/>
      <c r="J7" s="180">
        <v>8</v>
      </c>
      <c r="K7" s="207">
        <v>8</v>
      </c>
      <c r="L7" s="207">
        <v>8</v>
      </c>
      <c r="M7" s="180">
        <v>8</v>
      </c>
      <c r="N7" s="180">
        <v>8</v>
      </c>
      <c r="O7" s="199"/>
      <c r="P7" s="199"/>
      <c r="Q7" s="180">
        <v>8</v>
      </c>
      <c r="R7" s="207">
        <v>8</v>
      </c>
      <c r="S7" s="207">
        <v>8</v>
      </c>
      <c r="T7" s="180">
        <v>8</v>
      </c>
      <c r="U7" s="180">
        <v>8</v>
      </c>
      <c r="V7" s="199"/>
      <c r="W7" s="199"/>
      <c r="X7" s="134">
        <f t="shared" si="6"/>
        <v>0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80">
        <v>8</v>
      </c>
      <c r="K8" s="207">
        <v>8</v>
      </c>
      <c r="L8" s="207">
        <v>8</v>
      </c>
      <c r="M8" s="180">
        <v>8</v>
      </c>
      <c r="N8" s="180">
        <v>8</v>
      </c>
      <c r="O8" s="199"/>
      <c r="P8" s="199"/>
      <c r="Q8" s="180">
        <v>8</v>
      </c>
      <c r="R8" s="207">
        <v>8</v>
      </c>
      <c r="S8" s="207">
        <v>8</v>
      </c>
      <c r="T8" s="180">
        <v>8</v>
      </c>
      <c r="U8" s="180">
        <v>8</v>
      </c>
      <c r="V8" s="199"/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80">
        <v>8</v>
      </c>
      <c r="K9" s="207">
        <v>8</v>
      </c>
      <c r="L9" s="207">
        <v>8</v>
      </c>
      <c r="M9" s="180">
        <v>8</v>
      </c>
      <c r="N9" s="180">
        <v>8</v>
      </c>
      <c r="O9" s="199"/>
      <c r="P9" s="199"/>
      <c r="Q9" s="180">
        <v>8</v>
      </c>
      <c r="R9" s="207">
        <v>8</v>
      </c>
      <c r="S9" s="207">
        <v>8</v>
      </c>
      <c r="T9" s="207">
        <v>8</v>
      </c>
      <c r="U9" s="207">
        <v>8</v>
      </c>
      <c r="V9" s="199"/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64</v>
      </c>
      <c r="G10" s="134">
        <f t="shared" si="5"/>
        <v>64</v>
      </c>
      <c r="H10" s="135">
        <v>0</v>
      </c>
      <c r="I10" s="199"/>
      <c r="J10" s="186"/>
      <c r="K10" s="207">
        <v>8</v>
      </c>
      <c r="L10" s="207">
        <v>8</v>
      </c>
      <c r="M10" s="180">
        <v>8</v>
      </c>
      <c r="N10" s="180">
        <v>8</v>
      </c>
      <c r="O10" s="199"/>
      <c r="P10" s="206"/>
      <c r="Q10" s="186"/>
      <c r="R10" s="207">
        <v>8</v>
      </c>
      <c r="S10" s="208">
        <v>8</v>
      </c>
      <c r="T10" s="187">
        <v>8</v>
      </c>
      <c r="U10" s="182">
        <v>8</v>
      </c>
      <c r="V10" s="199"/>
      <c r="W10" s="206"/>
      <c r="X10" s="134">
        <f t="shared" si="6"/>
        <v>2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456</v>
      </c>
      <c r="G15" s="189">
        <f t="shared" si="8"/>
        <v>456</v>
      </c>
      <c r="H15" s="189">
        <f t="shared" si="8"/>
        <v>0</v>
      </c>
      <c r="I15" s="189">
        <f t="shared" si="8"/>
        <v>0</v>
      </c>
      <c r="J15" s="189">
        <f t="shared" si="8"/>
        <v>40</v>
      </c>
      <c r="K15" s="189">
        <f t="shared" si="8"/>
        <v>48</v>
      </c>
      <c r="L15" s="189">
        <f t="shared" si="8"/>
        <v>40</v>
      </c>
      <c r="M15" s="189">
        <f t="shared" si="8"/>
        <v>48</v>
      </c>
      <c r="N15" s="189">
        <f t="shared" si="8"/>
        <v>48</v>
      </c>
      <c r="O15" s="189">
        <f t="shared" si="8"/>
        <v>0</v>
      </c>
      <c r="P15" s="189">
        <f t="shared" si="8"/>
        <v>0</v>
      </c>
      <c r="Q15" s="189">
        <f t="shared" si="8"/>
        <v>40</v>
      </c>
      <c r="R15" s="189">
        <f t="shared" si="8"/>
        <v>48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0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45824</v>
      </c>
      <c r="J18" s="141">
        <f t="shared" ref="J18:W18" si="9">I18+1</f>
        <v>45825</v>
      </c>
      <c r="K18" s="141">
        <f t="shared" si="9"/>
        <v>45826</v>
      </c>
      <c r="L18" s="121">
        <f t="shared" si="9"/>
        <v>45827</v>
      </c>
      <c r="M18" s="141">
        <f t="shared" si="9"/>
        <v>45828</v>
      </c>
      <c r="N18" s="141">
        <f t="shared" si="9"/>
        <v>45829</v>
      </c>
      <c r="O18" s="141">
        <f t="shared" si="9"/>
        <v>45830</v>
      </c>
      <c r="P18" s="141">
        <f t="shared" si="9"/>
        <v>45831</v>
      </c>
      <c r="Q18" s="141">
        <f t="shared" si="9"/>
        <v>45832</v>
      </c>
      <c r="R18" s="141">
        <f t="shared" si="9"/>
        <v>45833</v>
      </c>
      <c r="S18" s="141">
        <f t="shared" si="9"/>
        <v>45834</v>
      </c>
      <c r="T18" s="141">
        <f t="shared" si="9"/>
        <v>45835</v>
      </c>
      <c r="U18" s="141">
        <f t="shared" si="9"/>
        <v>45836</v>
      </c>
      <c r="V18" s="141">
        <f t="shared" si="9"/>
        <v>45837</v>
      </c>
      <c r="W18" s="141">
        <f t="shared" si="9"/>
        <v>45838</v>
      </c>
      <c r="X18" s="141"/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Mon</v>
      </c>
      <c r="J19" s="128" t="str">
        <f t="shared" si="10"/>
        <v>Tue</v>
      </c>
      <c r="K19" s="128" t="str">
        <f t="shared" si="10"/>
        <v>Wed</v>
      </c>
      <c r="L19" s="128" t="str">
        <f t="shared" si="10"/>
        <v>Thu</v>
      </c>
      <c r="M19" s="128" t="str">
        <f t="shared" si="10"/>
        <v>Fri</v>
      </c>
      <c r="N19" s="128" t="str">
        <f t="shared" si="10"/>
        <v>Sat</v>
      </c>
      <c r="O19" s="128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128" t="str">
        <f t="shared" si="10"/>
        <v>Wed</v>
      </c>
      <c r="S19" s="128" t="str">
        <f t="shared" si="10"/>
        <v>Thu</v>
      </c>
      <c r="T19" s="128" t="str">
        <f t="shared" si="10"/>
        <v>Fri</v>
      </c>
      <c r="U19" s="128" t="str">
        <f t="shared" si="10"/>
        <v>Sat</v>
      </c>
      <c r="V19" s="128" t="str">
        <f t="shared" si="10"/>
        <v>Sun</v>
      </c>
      <c r="W19" s="127" t="str">
        <f t="shared" si="10"/>
        <v>Mon</v>
      </c>
      <c r="X19" s="127"/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88</v>
      </c>
      <c r="G20" s="134">
        <f t="shared" ref="G20:G25" si="14">SUM(I20:X20)</f>
        <v>88</v>
      </c>
      <c r="H20" s="135">
        <v>0</v>
      </c>
      <c r="I20" s="180">
        <v>8</v>
      </c>
      <c r="J20" s="207">
        <v>8</v>
      </c>
      <c r="K20" s="207">
        <v>8</v>
      </c>
      <c r="L20" s="180">
        <v>8</v>
      </c>
      <c r="M20" s="180">
        <v>8</v>
      </c>
      <c r="N20" s="199"/>
      <c r="O20" s="199"/>
      <c r="P20" s="180">
        <v>8</v>
      </c>
      <c r="Q20" s="207">
        <v>8</v>
      </c>
      <c r="R20" s="207">
        <v>8</v>
      </c>
      <c r="S20" s="180">
        <v>8</v>
      </c>
      <c r="T20" s="180">
        <v>8</v>
      </c>
      <c r="U20" s="199"/>
      <c r="V20" s="199"/>
      <c r="W20" s="207">
        <v>8</v>
      </c>
      <c r="X20" s="207"/>
      <c r="Y20" s="134">
        <f t="shared" ref="Y20:Y25" si="15">Z20-COUNTA(I20:X20)</f>
        <v>0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207">
        <v>8</v>
      </c>
      <c r="K21" s="186"/>
      <c r="L21" s="180">
        <v>8</v>
      </c>
      <c r="M21" s="180">
        <v>8</v>
      </c>
      <c r="N21" s="199"/>
      <c r="O21" s="200"/>
      <c r="P21" s="180">
        <v>8</v>
      </c>
      <c r="Q21" s="207">
        <v>8</v>
      </c>
      <c r="R21" s="140">
        <v>8</v>
      </c>
      <c r="S21" s="207">
        <v>8</v>
      </c>
      <c r="T21" s="180">
        <v>8</v>
      </c>
      <c r="U21" s="199"/>
      <c r="V21" s="200"/>
      <c r="W21" s="180">
        <v>8</v>
      </c>
      <c r="X21" s="207"/>
      <c r="Y21" s="134">
        <f t="shared" si="15"/>
        <v>1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72</v>
      </c>
      <c r="G22" s="134">
        <f t="shared" si="14"/>
        <v>72</v>
      </c>
      <c r="H22" s="135">
        <v>0</v>
      </c>
      <c r="I22" s="186"/>
      <c r="J22" s="186"/>
      <c r="K22" s="207">
        <v>8</v>
      </c>
      <c r="L22" s="180">
        <v>8</v>
      </c>
      <c r="M22" s="180">
        <v>8</v>
      </c>
      <c r="N22" s="199"/>
      <c r="O22" s="199"/>
      <c r="P22" s="207">
        <v>8</v>
      </c>
      <c r="Q22" s="207">
        <v>8</v>
      </c>
      <c r="R22" s="207">
        <v>8</v>
      </c>
      <c r="S22" s="180">
        <v>8</v>
      </c>
      <c r="T22" s="180">
        <v>8</v>
      </c>
      <c r="U22" s="199"/>
      <c r="V22" s="199"/>
      <c r="W22" s="180">
        <v>8</v>
      </c>
      <c r="X22" s="207"/>
      <c r="Y22" s="134">
        <f t="shared" si="15"/>
        <v>2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207">
        <v>8</v>
      </c>
      <c r="K23" s="207">
        <v>8</v>
      </c>
      <c r="L23" s="180">
        <v>8</v>
      </c>
      <c r="M23" s="186"/>
      <c r="N23" s="199"/>
      <c r="O23" s="200"/>
      <c r="P23" s="180">
        <v>8</v>
      </c>
      <c r="Q23" s="207">
        <v>8</v>
      </c>
      <c r="R23" s="140">
        <v>8</v>
      </c>
      <c r="S23" s="180">
        <v>8</v>
      </c>
      <c r="T23" s="180">
        <v>8</v>
      </c>
      <c r="U23" s="199"/>
      <c r="V23" s="200"/>
      <c r="W23" s="180">
        <v>8</v>
      </c>
      <c r="X23" s="207"/>
      <c r="Y23" s="134">
        <f t="shared" si="15"/>
        <v>1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207">
        <v>8</v>
      </c>
      <c r="K24" s="207">
        <v>8</v>
      </c>
      <c r="L24" s="186"/>
      <c r="M24" s="180">
        <v>8</v>
      </c>
      <c r="N24" s="199"/>
      <c r="O24" s="199"/>
      <c r="P24" s="180">
        <v>8</v>
      </c>
      <c r="Q24" s="207">
        <v>8</v>
      </c>
      <c r="R24" s="207">
        <v>8</v>
      </c>
      <c r="S24" s="180">
        <v>8</v>
      </c>
      <c r="T24" s="180">
        <v>8</v>
      </c>
      <c r="U24" s="199"/>
      <c r="V24" s="199"/>
      <c r="W24" s="207">
        <v>8</v>
      </c>
      <c r="X24" s="207"/>
      <c r="Y24" s="134">
        <f t="shared" si="15"/>
        <v>1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88</v>
      </c>
      <c r="G25" s="134">
        <f t="shared" si="14"/>
        <v>88</v>
      </c>
      <c r="H25" s="135">
        <v>0</v>
      </c>
      <c r="I25" s="180">
        <v>8</v>
      </c>
      <c r="J25" s="207">
        <v>8</v>
      </c>
      <c r="K25" s="207">
        <v>8</v>
      </c>
      <c r="L25" s="180">
        <v>8</v>
      </c>
      <c r="M25" s="180">
        <v>8</v>
      </c>
      <c r="N25" s="199"/>
      <c r="O25" s="200"/>
      <c r="P25" s="183">
        <v>8</v>
      </c>
      <c r="Q25" s="207">
        <v>8</v>
      </c>
      <c r="R25" s="140">
        <v>8</v>
      </c>
      <c r="S25" s="183">
        <v>8</v>
      </c>
      <c r="T25" s="183">
        <v>8</v>
      </c>
      <c r="U25" s="199"/>
      <c r="V25" s="200"/>
      <c r="W25" s="180">
        <v>8</v>
      </c>
      <c r="X25" s="207"/>
      <c r="Y25" s="134">
        <f t="shared" si="15"/>
        <v>0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488</v>
      </c>
      <c r="G30" s="189">
        <f t="shared" si="16"/>
        <v>488</v>
      </c>
      <c r="H30" s="189">
        <f t="shared" si="16"/>
        <v>0</v>
      </c>
      <c r="I30" s="189">
        <f t="shared" si="16"/>
        <v>40</v>
      </c>
      <c r="J30" s="189">
        <f t="shared" si="16"/>
        <v>40</v>
      </c>
      <c r="K30" s="189">
        <f t="shared" si="16"/>
        <v>40</v>
      </c>
      <c r="L30" s="189">
        <f t="shared" si="16"/>
        <v>40</v>
      </c>
      <c r="M30" s="189">
        <f t="shared" si="16"/>
        <v>40</v>
      </c>
      <c r="N30" s="189">
        <f t="shared" si="16"/>
        <v>0</v>
      </c>
      <c r="O30" s="189">
        <f t="shared" si="16"/>
        <v>0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48</v>
      </c>
      <c r="T30" s="189">
        <f t="shared" si="16"/>
        <v>48</v>
      </c>
      <c r="U30" s="189">
        <f t="shared" si="16"/>
        <v>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168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168</v>
      </c>
      <c r="D36" s="155">
        <f t="shared" si="18"/>
        <v>152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168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160</v>
      </c>
      <c r="C38" s="159">
        <f t="shared" si="17"/>
        <v>168</v>
      </c>
      <c r="D38" s="160">
        <f t="shared" si="18"/>
        <v>160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8BF11-1838-4623-BBB0-4968067F8ADE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45901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45901</v>
      </c>
      <c r="J3" s="141">
        <f t="shared" ref="J3:W3" si="0">I3+1</f>
        <v>45902</v>
      </c>
      <c r="K3" s="141">
        <f t="shared" si="0"/>
        <v>45903</v>
      </c>
      <c r="L3" s="141">
        <f t="shared" si="0"/>
        <v>45904</v>
      </c>
      <c r="M3" s="141">
        <f t="shared" si="0"/>
        <v>45905</v>
      </c>
      <c r="N3" s="141">
        <f t="shared" si="0"/>
        <v>45906</v>
      </c>
      <c r="O3" s="141">
        <f t="shared" si="0"/>
        <v>45907</v>
      </c>
      <c r="P3" s="141">
        <f t="shared" si="0"/>
        <v>45908</v>
      </c>
      <c r="Q3" s="141">
        <f t="shared" si="0"/>
        <v>45909</v>
      </c>
      <c r="R3" s="141">
        <f t="shared" si="0"/>
        <v>45910</v>
      </c>
      <c r="S3" s="141">
        <f t="shared" si="0"/>
        <v>45911</v>
      </c>
      <c r="T3" s="141">
        <f t="shared" si="0"/>
        <v>45912</v>
      </c>
      <c r="U3" s="141">
        <f t="shared" si="0"/>
        <v>45913</v>
      </c>
      <c r="V3" s="141">
        <f t="shared" si="0"/>
        <v>45914</v>
      </c>
      <c r="W3" s="141">
        <f t="shared" si="0"/>
        <v>45915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Mon</v>
      </c>
      <c r="J4" s="127" t="str">
        <f t="shared" si="1"/>
        <v>Tue</v>
      </c>
      <c r="K4" s="127" t="str">
        <f t="shared" si="1"/>
        <v>Wed</v>
      </c>
      <c r="L4" s="222" t="str">
        <f t="shared" si="1"/>
        <v>Thu</v>
      </c>
      <c r="M4" s="222" t="str">
        <f t="shared" si="1"/>
        <v>Fri</v>
      </c>
      <c r="N4" s="221" t="str">
        <f t="shared" si="1"/>
        <v>Sat</v>
      </c>
      <c r="O4" s="221" t="str">
        <f t="shared" si="1"/>
        <v>Sun</v>
      </c>
      <c r="P4" s="222" t="str">
        <f t="shared" si="1"/>
        <v>Mon</v>
      </c>
      <c r="Q4" s="222" t="str">
        <f t="shared" si="1"/>
        <v>Tue</v>
      </c>
      <c r="R4" s="222" t="str">
        <f t="shared" si="1"/>
        <v>Wed</v>
      </c>
      <c r="S4" s="222" t="str">
        <f t="shared" si="1"/>
        <v>Thu</v>
      </c>
      <c r="T4" s="222" t="str">
        <f t="shared" si="1"/>
        <v>Fri</v>
      </c>
      <c r="U4" s="222" t="str">
        <f t="shared" si="1"/>
        <v>Sat</v>
      </c>
      <c r="V4" s="222" t="str">
        <f t="shared" si="1"/>
        <v>Sun</v>
      </c>
      <c r="W4" s="222" t="str">
        <f t="shared" si="1"/>
        <v>Mon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3">
        <v>8</v>
      </c>
      <c r="J5" s="183">
        <v>8</v>
      </c>
      <c r="K5" s="183">
        <v>8</v>
      </c>
      <c r="L5" s="183">
        <v>8</v>
      </c>
      <c r="M5" s="183">
        <v>8</v>
      </c>
      <c r="N5" s="200"/>
      <c r="O5" s="200"/>
      <c r="P5" s="183">
        <v>8</v>
      </c>
      <c r="Q5" s="183">
        <v>8</v>
      </c>
      <c r="R5" s="183">
        <v>8</v>
      </c>
      <c r="S5" s="183">
        <v>8</v>
      </c>
      <c r="T5" s="183">
        <v>8</v>
      </c>
      <c r="U5" s="200"/>
      <c r="V5" s="200"/>
      <c r="W5" s="183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183">
        <v>8</v>
      </c>
      <c r="K6" s="183">
        <v>8</v>
      </c>
      <c r="L6" s="183">
        <v>8</v>
      </c>
      <c r="M6" s="183">
        <v>8</v>
      </c>
      <c r="N6" s="200"/>
      <c r="O6" s="200"/>
      <c r="P6" s="183">
        <v>8</v>
      </c>
      <c r="Q6" s="183">
        <v>8</v>
      </c>
      <c r="R6" s="183">
        <v>8</v>
      </c>
      <c r="S6" s="183">
        <v>8</v>
      </c>
      <c r="T6" s="183">
        <v>8</v>
      </c>
      <c r="U6" s="200"/>
      <c r="V6" s="200"/>
      <c r="W6" s="236"/>
      <c r="X6" s="134">
        <f t="shared" ref="X6:X14" si="6">Y6-COUNTA(I6:W6)</f>
        <v>1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80</v>
      </c>
      <c r="G7" s="134">
        <f t="shared" si="5"/>
        <v>80</v>
      </c>
      <c r="H7" s="135">
        <v>0</v>
      </c>
      <c r="I7" s="183">
        <v>8</v>
      </c>
      <c r="J7" s="183">
        <v>8</v>
      </c>
      <c r="K7" s="183">
        <v>8</v>
      </c>
      <c r="L7" s="183">
        <v>8</v>
      </c>
      <c r="M7" s="183">
        <v>8</v>
      </c>
      <c r="N7" s="200"/>
      <c r="O7" s="200"/>
      <c r="P7" s="183">
        <v>8</v>
      </c>
      <c r="Q7" s="183">
        <v>8</v>
      </c>
      <c r="R7" s="236"/>
      <c r="S7" s="183">
        <v>8</v>
      </c>
      <c r="T7" s="183">
        <v>8</v>
      </c>
      <c r="U7" s="200"/>
      <c r="V7" s="200"/>
      <c r="W7" s="183">
        <v>8</v>
      </c>
      <c r="X7" s="134">
        <f t="shared" si="6"/>
        <v>1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3">
        <v>8</v>
      </c>
      <c r="J8" s="183">
        <v>8</v>
      </c>
      <c r="K8" s="183">
        <v>8</v>
      </c>
      <c r="L8" s="183">
        <v>8</v>
      </c>
      <c r="M8" s="183">
        <v>8</v>
      </c>
      <c r="N8" s="200"/>
      <c r="O8" s="200"/>
      <c r="P8" s="183">
        <v>8</v>
      </c>
      <c r="Q8" s="183">
        <v>8</v>
      </c>
      <c r="R8" s="183">
        <v>8</v>
      </c>
      <c r="S8" s="183">
        <v>8</v>
      </c>
      <c r="T8" s="183">
        <v>8</v>
      </c>
      <c r="U8" s="200"/>
      <c r="V8" s="200"/>
      <c r="W8" s="183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3">
        <v>8</v>
      </c>
      <c r="J9" s="183">
        <v>8</v>
      </c>
      <c r="K9" s="183">
        <v>8</v>
      </c>
      <c r="L9" s="183">
        <v>8</v>
      </c>
      <c r="M9" s="183">
        <v>8</v>
      </c>
      <c r="N9" s="200"/>
      <c r="O9" s="200"/>
      <c r="P9" s="236"/>
      <c r="Q9" s="183">
        <v>8</v>
      </c>
      <c r="R9" s="183">
        <v>8</v>
      </c>
      <c r="S9" s="183">
        <v>8</v>
      </c>
      <c r="T9" s="183">
        <v>8</v>
      </c>
      <c r="U9" s="200"/>
      <c r="V9" s="200"/>
      <c r="W9" s="183">
        <v>8</v>
      </c>
      <c r="X9" s="134">
        <f t="shared" si="6"/>
        <v>1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3">
        <v>8</v>
      </c>
      <c r="J10" s="183">
        <v>8</v>
      </c>
      <c r="K10" s="183">
        <v>8</v>
      </c>
      <c r="L10" s="183">
        <v>8</v>
      </c>
      <c r="M10" s="183">
        <v>8</v>
      </c>
      <c r="N10" s="200"/>
      <c r="O10" s="200"/>
      <c r="P10" s="183">
        <v>8</v>
      </c>
      <c r="Q10" s="183">
        <v>8</v>
      </c>
      <c r="R10" s="183">
        <v>8</v>
      </c>
      <c r="S10" s="183">
        <v>8</v>
      </c>
      <c r="T10" s="183">
        <v>8</v>
      </c>
      <c r="U10" s="200"/>
      <c r="V10" s="200"/>
      <c r="W10" s="183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504</v>
      </c>
      <c r="G15" s="224">
        <f t="shared" si="8"/>
        <v>504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48</v>
      </c>
      <c r="N15" s="224">
        <f t="shared" si="8"/>
        <v>0</v>
      </c>
      <c r="O15" s="224">
        <f t="shared" si="8"/>
        <v>0</v>
      </c>
      <c r="P15" s="224">
        <f t="shared" si="8"/>
        <v>40</v>
      </c>
      <c r="Q15" s="224">
        <f t="shared" si="8"/>
        <v>48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0</v>
      </c>
      <c r="V15" s="224">
        <f t="shared" si="8"/>
        <v>0</v>
      </c>
      <c r="W15" s="224">
        <f t="shared" si="8"/>
        <v>40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45916</v>
      </c>
      <c r="J18" s="141">
        <f t="shared" ref="J18:W18" si="9">I18+1</f>
        <v>45917</v>
      </c>
      <c r="K18" s="141">
        <f t="shared" si="9"/>
        <v>45918</v>
      </c>
      <c r="L18" s="141">
        <f t="shared" si="9"/>
        <v>45919</v>
      </c>
      <c r="M18" s="141">
        <f t="shared" si="9"/>
        <v>45920</v>
      </c>
      <c r="N18" s="141">
        <f t="shared" si="9"/>
        <v>45921</v>
      </c>
      <c r="O18" s="141">
        <f t="shared" si="9"/>
        <v>45922</v>
      </c>
      <c r="P18" s="141">
        <f t="shared" si="9"/>
        <v>45923</v>
      </c>
      <c r="Q18" s="141">
        <f t="shared" si="9"/>
        <v>45924</v>
      </c>
      <c r="R18" s="141">
        <f t="shared" si="9"/>
        <v>45925</v>
      </c>
      <c r="S18" s="141">
        <f t="shared" si="9"/>
        <v>45926</v>
      </c>
      <c r="T18" s="141">
        <f t="shared" si="9"/>
        <v>45927</v>
      </c>
      <c r="U18" s="141">
        <f t="shared" si="9"/>
        <v>45928</v>
      </c>
      <c r="V18" s="141">
        <f t="shared" si="9"/>
        <v>45929</v>
      </c>
      <c r="W18" s="141">
        <f t="shared" si="9"/>
        <v>45930</v>
      </c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Tue</v>
      </c>
      <c r="J19" s="222" t="str">
        <f t="shared" si="10"/>
        <v>Wed</v>
      </c>
      <c r="K19" s="222" t="str">
        <f t="shared" si="10"/>
        <v>Thu</v>
      </c>
      <c r="L19" s="222" t="str">
        <f t="shared" si="10"/>
        <v>Fri</v>
      </c>
      <c r="M19" s="222" t="str">
        <f t="shared" si="10"/>
        <v>Sat</v>
      </c>
      <c r="N19" s="222" t="str">
        <f t="shared" si="10"/>
        <v>Sun</v>
      </c>
      <c r="O19" s="222" t="str">
        <f t="shared" si="10"/>
        <v>Mon</v>
      </c>
      <c r="P19" s="127" t="str">
        <f t="shared" si="10"/>
        <v>Tue</v>
      </c>
      <c r="Q19" s="127" t="str">
        <f t="shared" si="10"/>
        <v>Wed</v>
      </c>
      <c r="R19" s="222" t="str">
        <f t="shared" si="10"/>
        <v>Thu</v>
      </c>
      <c r="S19" s="222" t="str">
        <f t="shared" si="10"/>
        <v>Fri</v>
      </c>
      <c r="T19" s="222" t="str">
        <f t="shared" si="10"/>
        <v>Sat</v>
      </c>
      <c r="U19" s="222" t="str">
        <f t="shared" si="10"/>
        <v>Sun</v>
      </c>
      <c r="V19" s="222" t="str">
        <f t="shared" si="10"/>
        <v>Mon</v>
      </c>
      <c r="W19" s="127" t="str">
        <f t="shared" si="10"/>
        <v>Tue</v>
      </c>
      <c r="X19" s="127" t="str">
        <f t="shared" si="10"/>
        <v/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64</v>
      </c>
      <c r="G20" s="134">
        <f t="shared" ref="G20:G25" si="14">SUM(I20:X20)</f>
        <v>64</v>
      </c>
      <c r="H20" s="135">
        <v>0</v>
      </c>
      <c r="I20" s="180">
        <v>8</v>
      </c>
      <c r="J20" s="180">
        <v>8</v>
      </c>
      <c r="K20" s="180">
        <v>8</v>
      </c>
      <c r="L20" s="180">
        <v>8</v>
      </c>
      <c r="M20" s="199"/>
      <c r="N20" s="199"/>
      <c r="O20" s="180">
        <v>8</v>
      </c>
      <c r="P20" s="180">
        <v>8</v>
      </c>
      <c r="Q20" s="236"/>
      <c r="R20" s="180">
        <v>8</v>
      </c>
      <c r="S20" s="180">
        <v>8</v>
      </c>
      <c r="T20" s="199"/>
      <c r="U20" s="199"/>
      <c r="V20" s="236"/>
      <c r="W20" s="236"/>
      <c r="X20" s="180"/>
      <c r="Y20" s="134">
        <f t="shared" ref="Y20:Y25" si="15">Z20-COUNTA(I20:X20)</f>
        <v>3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99"/>
      <c r="N21" s="199"/>
      <c r="O21" s="183">
        <v>8</v>
      </c>
      <c r="P21" s="180">
        <v>8</v>
      </c>
      <c r="Q21" s="180">
        <v>8</v>
      </c>
      <c r="R21" s="183">
        <v>8</v>
      </c>
      <c r="S21" s="180">
        <v>8</v>
      </c>
      <c r="T21" s="199"/>
      <c r="U21" s="199"/>
      <c r="V21" s="183">
        <v>8</v>
      </c>
      <c r="W21" s="180">
        <v>8</v>
      </c>
      <c r="X21" s="180"/>
      <c r="Y21" s="134">
        <f t="shared" si="15"/>
        <v>0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99"/>
      <c r="N22" s="199"/>
      <c r="O22" s="180">
        <v>8</v>
      </c>
      <c r="P22" s="180">
        <v>8</v>
      </c>
      <c r="Q22" s="180">
        <v>8</v>
      </c>
      <c r="R22" s="180">
        <v>8</v>
      </c>
      <c r="S22" s="180">
        <v>8</v>
      </c>
      <c r="T22" s="199"/>
      <c r="U22" s="199"/>
      <c r="V22" s="180">
        <v>8</v>
      </c>
      <c r="W22" s="180">
        <v>8</v>
      </c>
      <c r="X22" s="180"/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99"/>
      <c r="N23" s="199"/>
      <c r="O23" s="183">
        <v>8</v>
      </c>
      <c r="P23" s="180">
        <v>8</v>
      </c>
      <c r="Q23" s="180">
        <v>8</v>
      </c>
      <c r="R23" s="183">
        <v>8</v>
      </c>
      <c r="S23" s="180">
        <v>8</v>
      </c>
      <c r="T23" s="199"/>
      <c r="U23" s="199"/>
      <c r="V23" s="236"/>
      <c r="W23" s="180">
        <v>8</v>
      </c>
      <c r="X23" s="180"/>
      <c r="Y23" s="134"/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99"/>
      <c r="N24" s="199"/>
      <c r="O24" s="180">
        <v>8</v>
      </c>
      <c r="P24" s="180">
        <v>8</v>
      </c>
      <c r="Q24" s="180">
        <v>8</v>
      </c>
      <c r="R24" s="180">
        <v>8</v>
      </c>
      <c r="S24" s="180">
        <v>8</v>
      </c>
      <c r="T24" s="199"/>
      <c r="U24" s="199"/>
      <c r="V24" s="180">
        <v>8</v>
      </c>
      <c r="W24" s="180">
        <v>8</v>
      </c>
      <c r="X24" s="180"/>
      <c r="Y24" s="134">
        <f t="shared" si="15"/>
        <v>0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236"/>
      <c r="M25" s="200"/>
      <c r="N25" s="200"/>
      <c r="O25" s="183">
        <v>8</v>
      </c>
      <c r="P25" s="183">
        <v>8</v>
      </c>
      <c r="Q25" s="183">
        <v>8</v>
      </c>
      <c r="R25" s="183">
        <v>8</v>
      </c>
      <c r="S25" s="183">
        <v>8</v>
      </c>
      <c r="T25" s="200"/>
      <c r="U25" s="200"/>
      <c r="V25" s="183">
        <v>8</v>
      </c>
      <c r="W25" s="183">
        <v>8</v>
      </c>
      <c r="X25" s="180"/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0</v>
      </c>
      <c r="N30" s="224">
        <f t="shared" si="16"/>
        <v>0</v>
      </c>
      <c r="O30" s="224">
        <f t="shared" si="16"/>
        <v>48</v>
      </c>
      <c r="P30" s="224">
        <f t="shared" si="16"/>
        <v>48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176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168</v>
      </c>
      <c r="C35" s="154">
        <f t="shared" si="17"/>
        <v>176</v>
      </c>
      <c r="D35" s="155">
        <f t="shared" si="18"/>
        <v>168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168</v>
      </c>
      <c r="C36" s="154">
        <f t="shared" si="17"/>
        <v>176</v>
      </c>
      <c r="D36" s="155">
        <f t="shared" si="18"/>
        <v>168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168</v>
      </c>
      <c r="C37" s="154">
        <f t="shared" si="17"/>
        <v>176</v>
      </c>
      <c r="D37" s="155">
        <f t="shared" si="18"/>
        <v>168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168</v>
      </c>
      <c r="C38" s="217">
        <f t="shared" si="17"/>
        <v>176</v>
      </c>
      <c r="D38" s="218">
        <f t="shared" si="18"/>
        <v>168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99404-F419-4E69-8E59-036C53CD0570}">
  <sheetPr>
    <tabColor theme="4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45931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45931</v>
      </c>
      <c r="J3" s="141">
        <f t="shared" ref="J3:W3" si="0">I3+1</f>
        <v>45932</v>
      </c>
      <c r="K3" s="141">
        <f t="shared" si="0"/>
        <v>45933</v>
      </c>
      <c r="L3" s="141">
        <f t="shared" si="0"/>
        <v>45934</v>
      </c>
      <c r="M3" s="141">
        <f t="shared" si="0"/>
        <v>45935</v>
      </c>
      <c r="N3" s="141">
        <f t="shared" si="0"/>
        <v>45936</v>
      </c>
      <c r="O3" s="141">
        <f t="shared" si="0"/>
        <v>45937</v>
      </c>
      <c r="P3" s="141">
        <f t="shared" si="0"/>
        <v>45938</v>
      </c>
      <c r="Q3" s="141">
        <f t="shared" si="0"/>
        <v>45939</v>
      </c>
      <c r="R3" s="141">
        <f t="shared" si="0"/>
        <v>45940</v>
      </c>
      <c r="S3" s="141">
        <f t="shared" si="0"/>
        <v>45941</v>
      </c>
      <c r="T3" s="141">
        <f t="shared" si="0"/>
        <v>45942</v>
      </c>
      <c r="U3" s="141">
        <f t="shared" si="0"/>
        <v>45943</v>
      </c>
      <c r="V3" s="141">
        <f t="shared" si="0"/>
        <v>45944</v>
      </c>
      <c r="W3" s="141">
        <f t="shared" si="0"/>
        <v>45945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Wed</v>
      </c>
      <c r="J4" s="127" t="str">
        <f t="shared" si="1"/>
        <v>Thu</v>
      </c>
      <c r="K4" s="127" t="str">
        <f t="shared" si="1"/>
        <v>Fri</v>
      </c>
      <c r="L4" s="222" t="str">
        <f t="shared" si="1"/>
        <v>Sat</v>
      </c>
      <c r="M4" s="222" t="str">
        <f t="shared" si="1"/>
        <v>Sun</v>
      </c>
      <c r="N4" s="221" t="str">
        <f t="shared" si="1"/>
        <v>Mon</v>
      </c>
      <c r="O4" s="221" t="str">
        <f t="shared" si="1"/>
        <v>Tue</v>
      </c>
      <c r="P4" s="222" t="str">
        <f t="shared" si="1"/>
        <v>Wed</v>
      </c>
      <c r="Q4" s="222" t="str">
        <f t="shared" si="1"/>
        <v>Thu</v>
      </c>
      <c r="R4" s="222" t="str">
        <f t="shared" si="1"/>
        <v>Fri</v>
      </c>
      <c r="S4" s="222" t="str">
        <f t="shared" si="1"/>
        <v>Sat</v>
      </c>
      <c r="T4" s="222" t="str">
        <f t="shared" si="1"/>
        <v>Sun</v>
      </c>
      <c r="U4" s="222" t="str">
        <f t="shared" si="1"/>
        <v>Mon</v>
      </c>
      <c r="V4" s="222" t="str">
        <f t="shared" si="1"/>
        <v>Tue</v>
      </c>
      <c r="W4" s="222" t="str">
        <f t="shared" si="1"/>
        <v>Wed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64</v>
      </c>
      <c r="G5" s="134">
        <f t="shared" ref="G5:G10" si="5">SUM(I5:W5)</f>
        <v>64</v>
      </c>
      <c r="H5" s="135">
        <v>0</v>
      </c>
      <c r="I5" s="236"/>
      <c r="J5" s="235"/>
      <c r="K5" s="236"/>
      <c r="L5" s="200"/>
      <c r="M5" s="200"/>
      <c r="N5" s="183">
        <v>8</v>
      </c>
      <c r="O5" s="183">
        <v>8</v>
      </c>
      <c r="P5" s="183">
        <v>8</v>
      </c>
      <c r="Q5" s="183">
        <v>8</v>
      </c>
      <c r="R5" s="183">
        <v>8</v>
      </c>
      <c r="S5" s="200"/>
      <c r="T5" s="200"/>
      <c r="U5" s="183">
        <v>8</v>
      </c>
      <c r="V5" s="183">
        <v>8</v>
      </c>
      <c r="W5" s="183">
        <v>8</v>
      </c>
      <c r="X5" s="134">
        <f>Y5-COUNTA(I5:W5)</f>
        <v>2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83">
        <v>8</v>
      </c>
      <c r="J6" s="235"/>
      <c r="K6" s="183">
        <v>8</v>
      </c>
      <c r="L6" s="200"/>
      <c r="M6" s="200"/>
      <c r="N6" s="183">
        <v>8</v>
      </c>
      <c r="O6" s="183">
        <v>8</v>
      </c>
      <c r="P6" s="183">
        <v>8</v>
      </c>
      <c r="Q6" s="183">
        <v>8</v>
      </c>
      <c r="R6" s="183">
        <v>8</v>
      </c>
      <c r="S6" s="200"/>
      <c r="T6" s="200"/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6"/>
      <c r="J7" s="235"/>
      <c r="K7" s="183">
        <v>8</v>
      </c>
      <c r="L7" s="200"/>
      <c r="M7" s="200"/>
      <c r="N7" s="183">
        <v>8</v>
      </c>
      <c r="O7" s="183">
        <v>8</v>
      </c>
      <c r="P7" s="183">
        <v>8</v>
      </c>
      <c r="Q7" s="183">
        <v>8</v>
      </c>
      <c r="R7" s="183">
        <v>8</v>
      </c>
      <c r="S7" s="200"/>
      <c r="T7" s="200"/>
      <c r="U7" s="183">
        <v>8</v>
      </c>
      <c r="V7" s="183">
        <v>8</v>
      </c>
      <c r="W7" s="183">
        <v>8</v>
      </c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64</v>
      </c>
      <c r="G8" s="134">
        <f t="shared" si="5"/>
        <v>64</v>
      </c>
      <c r="H8" s="135">
        <v>0</v>
      </c>
      <c r="I8" s="236"/>
      <c r="J8" s="235"/>
      <c r="K8" s="183">
        <v>8</v>
      </c>
      <c r="L8" s="200"/>
      <c r="M8" s="200"/>
      <c r="N8" s="183">
        <v>8</v>
      </c>
      <c r="O8" s="183">
        <v>8</v>
      </c>
      <c r="P8" s="183">
        <v>8</v>
      </c>
      <c r="Q8" s="183">
        <v>8</v>
      </c>
      <c r="R8" s="236"/>
      <c r="S8" s="200"/>
      <c r="T8" s="200"/>
      <c r="U8" s="183">
        <v>8</v>
      </c>
      <c r="V8" s="183">
        <v>8</v>
      </c>
      <c r="W8" s="183">
        <v>8</v>
      </c>
      <c r="X8" s="134">
        <f t="shared" si="6"/>
        <v>2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64</v>
      </c>
      <c r="G9" s="134">
        <f t="shared" si="5"/>
        <v>64</v>
      </c>
      <c r="H9" s="135">
        <v>0</v>
      </c>
      <c r="I9" s="236"/>
      <c r="J9" s="235"/>
      <c r="K9" s="236"/>
      <c r="L9" s="200"/>
      <c r="M9" s="200"/>
      <c r="N9" s="183">
        <v>8</v>
      </c>
      <c r="O9" s="183">
        <v>8</v>
      </c>
      <c r="P9" s="183">
        <v>8</v>
      </c>
      <c r="Q9" s="183">
        <v>8</v>
      </c>
      <c r="R9" s="183">
        <v>8</v>
      </c>
      <c r="S9" s="200"/>
      <c r="T9" s="200"/>
      <c r="U9" s="183">
        <v>8</v>
      </c>
      <c r="V9" s="183">
        <v>8</v>
      </c>
      <c r="W9" s="183">
        <v>8</v>
      </c>
      <c r="X9" s="134">
        <f t="shared" si="6"/>
        <v>2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183">
        <v>8</v>
      </c>
      <c r="J10" s="235"/>
      <c r="K10" s="183">
        <v>8</v>
      </c>
      <c r="L10" s="200"/>
      <c r="M10" s="200"/>
      <c r="N10" s="183">
        <v>8</v>
      </c>
      <c r="O10" s="183">
        <v>8</v>
      </c>
      <c r="P10" s="183">
        <v>8</v>
      </c>
      <c r="Q10" s="183">
        <v>8</v>
      </c>
      <c r="R10" s="183">
        <v>8</v>
      </c>
      <c r="S10" s="200"/>
      <c r="T10" s="200"/>
      <c r="U10" s="236"/>
      <c r="V10" s="183">
        <v>8</v>
      </c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416</v>
      </c>
      <c r="G15" s="224">
        <f t="shared" si="8"/>
        <v>416</v>
      </c>
      <c r="H15" s="224">
        <f t="shared" si="8"/>
        <v>0</v>
      </c>
      <c r="I15" s="224">
        <f t="shared" si="8"/>
        <v>16</v>
      </c>
      <c r="J15" s="224">
        <f t="shared" si="8"/>
        <v>0</v>
      </c>
      <c r="K15" s="224">
        <f t="shared" si="8"/>
        <v>32</v>
      </c>
      <c r="L15" s="224">
        <f t="shared" si="8"/>
        <v>0</v>
      </c>
      <c r="M15" s="224">
        <f t="shared" si="8"/>
        <v>0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40</v>
      </c>
      <c r="S15" s="224">
        <f t="shared" si="8"/>
        <v>0</v>
      </c>
      <c r="T15" s="224">
        <f t="shared" si="8"/>
        <v>0</v>
      </c>
      <c r="U15" s="224">
        <f t="shared" si="8"/>
        <v>40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45946</v>
      </c>
      <c r="J18" s="141">
        <f t="shared" ref="J18:X18" si="9">I18+1</f>
        <v>45947</v>
      </c>
      <c r="K18" s="141">
        <f t="shared" si="9"/>
        <v>45948</v>
      </c>
      <c r="L18" s="141">
        <f t="shared" si="9"/>
        <v>45949</v>
      </c>
      <c r="M18" s="141">
        <f t="shared" si="9"/>
        <v>45950</v>
      </c>
      <c r="N18" s="141">
        <f t="shared" si="9"/>
        <v>45951</v>
      </c>
      <c r="O18" s="141">
        <f t="shared" si="9"/>
        <v>45952</v>
      </c>
      <c r="P18" s="141">
        <f t="shared" si="9"/>
        <v>45953</v>
      </c>
      <c r="Q18" s="141">
        <f t="shared" si="9"/>
        <v>45954</v>
      </c>
      <c r="R18" s="141">
        <f t="shared" si="9"/>
        <v>45955</v>
      </c>
      <c r="S18" s="141">
        <f t="shared" si="9"/>
        <v>45956</v>
      </c>
      <c r="T18" s="141">
        <f t="shared" si="9"/>
        <v>45957</v>
      </c>
      <c r="U18" s="141">
        <f t="shared" si="9"/>
        <v>45958</v>
      </c>
      <c r="V18" s="141">
        <f t="shared" si="9"/>
        <v>45959</v>
      </c>
      <c r="W18" s="141">
        <f t="shared" si="9"/>
        <v>45960</v>
      </c>
      <c r="X18" s="141">
        <f t="shared" si="9"/>
        <v>45961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Thu</v>
      </c>
      <c r="J19" s="222" t="str">
        <f t="shared" si="10"/>
        <v>Fri</v>
      </c>
      <c r="K19" s="222" t="str">
        <f t="shared" si="10"/>
        <v>Sat</v>
      </c>
      <c r="L19" s="222" t="str">
        <f t="shared" si="10"/>
        <v>Sun</v>
      </c>
      <c r="M19" s="222" t="str">
        <f t="shared" si="10"/>
        <v>Mon</v>
      </c>
      <c r="N19" s="222" t="str">
        <f t="shared" si="10"/>
        <v>Tue</v>
      </c>
      <c r="O19" s="222" t="str">
        <f t="shared" si="10"/>
        <v>Wed</v>
      </c>
      <c r="P19" s="127" t="str">
        <f t="shared" si="10"/>
        <v>Thu</v>
      </c>
      <c r="Q19" s="127" t="str">
        <f t="shared" si="10"/>
        <v>Fri</v>
      </c>
      <c r="R19" s="222" t="str">
        <f t="shared" si="10"/>
        <v>Sat</v>
      </c>
      <c r="S19" s="222" t="str">
        <f t="shared" si="10"/>
        <v>Sun</v>
      </c>
      <c r="T19" s="222" t="str">
        <f t="shared" si="10"/>
        <v>Mon</v>
      </c>
      <c r="U19" s="222" t="str">
        <f t="shared" si="10"/>
        <v>Tue</v>
      </c>
      <c r="V19" s="222" t="str">
        <f t="shared" si="10"/>
        <v>Wed</v>
      </c>
      <c r="W19" s="127" t="str">
        <f t="shared" si="10"/>
        <v>Thu</v>
      </c>
      <c r="X19" s="127" t="str">
        <f t="shared" si="10"/>
        <v>Fri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0">
        <v>8</v>
      </c>
      <c r="K20" s="199"/>
      <c r="L20" s="199"/>
      <c r="M20" s="185"/>
      <c r="N20" s="186"/>
      <c r="O20" s="180">
        <v>8</v>
      </c>
      <c r="P20" s="180">
        <v>8</v>
      </c>
      <c r="Q20" s="183">
        <v>8</v>
      </c>
      <c r="R20" s="199"/>
      <c r="S20" s="199"/>
      <c r="T20" s="180">
        <v>8</v>
      </c>
      <c r="U20" s="180">
        <v>8</v>
      </c>
      <c r="V20" s="183">
        <v>8</v>
      </c>
      <c r="W20" s="183">
        <v>8</v>
      </c>
      <c r="X20" s="180">
        <v>8</v>
      </c>
      <c r="Y20" s="134">
        <f t="shared" ref="Y20:Y25" si="15">Z20-COUNTA(I20:X20)</f>
        <v>1</v>
      </c>
      <c r="Z20" s="136">
        <v>11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80</v>
      </c>
      <c r="G21" s="134">
        <f t="shared" si="14"/>
        <v>80</v>
      </c>
      <c r="H21" s="135">
        <v>0</v>
      </c>
      <c r="I21" s="180">
        <v>8</v>
      </c>
      <c r="J21" s="180">
        <v>8</v>
      </c>
      <c r="K21" s="199"/>
      <c r="L21" s="199"/>
      <c r="M21" s="185"/>
      <c r="N21" s="186"/>
      <c r="O21" s="183">
        <v>8</v>
      </c>
      <c r="P21" s="180">
        <v>8</v>
      </c>
      <c r="Q21" s="180">
        <v>8</v>
      </c>
      <c r="R21" s="200"/>
      <c r="S21" s="199"/>
      <c r="T21" s="180">
        <v>8</v>
      </c>
      <c r="U21" s="180">
        <v>8</v>
      </c>
      <c r="V21" s="183">
        <v>8</v>
      </c>
      <c r="W21" s="180">
        <v>8</v>
      </c>
      <c r="X21" s="180">
        <v>8</v>
      </c>
      <c r="Y21" s="134">
        <f t="shared" si="15"/>
        <v>1</v>
      </c>
      <c r="Z21" s="136">
        <v>11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99"/>
      <c r="L22" s="199"/>
      <c r="M22" s="185"/>
      <c r="N22" s="180">
        <v>8</v>
      </c>
      <c r="O22" s="180">
        <v>8</v>
      </c>
      <c r="P22" s="180">
        <v>8</v>
      </c>
      <c r="Q22" s="180">
        <v>8</v>
      </c>
      <c r="R22" s="199"/>
      <c r="S22" s="199"/>
      <c r="T22" s="180">
        <v>8</v>
      </c>
      <c r="U22" s="180">
        <v>8</v>
      </c>
      <c r="V22" s="180">
        <v>8</v>
      </c>
      <c r="W22" s="180">
        <v>8</v>
      </c>
      <c r="X22" s="180">
        <v>8</v>
      </c>
      <c r="Y22" s="134">
        <f t="shared" si="15"/>
        <v>0</v>
      </c>
      <c r="Z22" s="136">
        <v>11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99"/>
      <c r="L23" s="199"/>
      <c r="M23" s="185"/>
      <c r="N23" s="186"/>
      <c r="O23" s="183">
        <v>8</v>
      </c>
      <c r="P23" s="180">
        <v>8</v>
      </c>
      <c r="Q23" s="180">
        <v>8</v>
      </c>
      <c r="R23" s="200"/>
      <c r="S23" s="199"/>
      <c r="T23" s="180">
        <v>8</v>
      </c>
      <c r="U23" s="180">
        <v>8</v>
      </c>
      <c r="V23" s="183">
        <v>8</v>
      </c>
      <c r="W23" s="180">
        <v>8</v>
      </c>
      <c r="X23" s="180">
        <v>8</v>
      </c>
      <c r="Y23" s="134">
        <f t="shared" si="15"/>
        <v>1</v>
      </c>
      <c r="Z23" s="136">
        <v>11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99"/>
      <c r="L24" s="199"/>
      <c r="M24" s="185"/>
      <c r="N24" s="186"/>
      <c r="O24" s="180">
        <v>8</v>
      </c>
      <c r="P24" s="180">
        <v>8</v>
      </c>
      <c r="Q24" s="180">
        <v>8</v>
      </c>
      <c r="R24" s="199"/>
      <c r="S24" s="199"/>
      <c r="T24" s="180">
        <v>8</v>
      </c>
      <c r="U24" s="180">
        <v>8</v>
      </c>
      <c r="V24" s="180">
        <v>8</v>
      </c>
      <c r="W24" s="180">
        <v>8</v>
      </c>
      <c r="X24" s="180">
        <v>8</v>
      </c>
      <c r="Y24" s="134">
        <f t="shared" si="15"/>
        <v>1</v>
      </c>
      <c r="Z24" s="136">
        <v>11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200"/>
      <c r="L25" s="200"/>
      <c r="M25" s="235"/>
      <c r="N25" s="236"/>
      <c r="O25" s="183">
        <v>8</v>
      </c>
      <c r="P25" s="183">
        <v>8</v>
      </c>
      <c r="Q25" s="183">
        <v>8</v>
      </c>
      <c r="R25" s="200"/>
      <c r="S25" s="200"/>
      <c r="T25" s="183">
        <v>8</v>
      </c>
      <c r="U25" s="183">
        <v>8</v>
      </c>
      <c r="V25" s="183">
        <v>8</v>
      </c>
      <c r="W25" s="183">
        <v>8</v>
      </c>
      <c r="X25" s="180">
        <v>8</v>
      </c>
      <c r="Y25" s="134">
        <f t="shared" si="15"/>
        <v>1</v>
      </c>
      <c r="Z25" s="136">
        <v>11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528</v>
      </c>
      <c r="E30" s="224">
        <f t="shared" si="16"/>
        <v>528</v>
      </c>
      <c r="F30" s="224">
        <f t="shared" si="16"/>
        <v>488</v>
      </c>
      <c r="G30" s="224">
        <f t="shared" si="16"/>
        <v>488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0</v>
      </c>
      <c r="L30" s="224">
        <f t="shared" si="16"/>
        <v>0</v>
      </c>
      <c r="M30" s="224">
        <f t="shared" si="16"/>
        <v>0</v>
      </c>
      <c r="N30" s="224">
        <f t="shared" si="16"/>
        <v>8</v>
      </c>
      <c r="O30" s="224">
        <f t="shared" si="16"/>
        <v>48</v>
      </c>
      <c r="P30" s="224">
        <f t="shared" si="16"/>
        <v>48</v>
      </c>
      <c r="Q30" s="224">
        <f t="shared" si="16"/>
        <v>48</v>
      </c>
      <c r="R30" s="224">
        <f t="shared" si="16"/>
        <v>0</v>
      </c>
      <c r="S30" s="224">
        <f t="shared" si="16"/>
        <v>0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144</v>
      </c>
      <c r="C34" s="154">
        <f t="shared" ref="C34:C39" si="17">E5+E20</f>
        <v>168</v>
      </c>
      <c r="D34" s="155">
        <f t="shared" ref="D34:D39" si="18">B34</f>
        <v>144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7"/>
        <v>168</v>
      </c>
      <c r="D35" s="155">
        <f t="shared" si="18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160</v>
      </c>
      <c r="C36" s="154">
        <f t="shared" si="17"/>
        <v>168</v>
      </c>
      <c r="D36" s="155">
        <f t="shared" si="18"/>
        <v>160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144</v>
      </c>
      <c r="C37" s="154">
        <f t="shared" si="17"/>
        <v>168</v>
      </c>
      <c r="D37" s="155">
        <f t="shared" si="18"/>
        <v>144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168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7"/>
        <v>168</v>
      </c>
      <c r="D39" s="160">
        <f t="shared" si="18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168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70D1F-A389-4D2D-A9CB-ED6FA079D2D8}">
  <sheetPr>
    <tabColor theme="9"/>
  </sheetPr>
  <dimension ref="A1:AI997"/>
  <sheetViews>
    <sheetView showGridLines="0" workbookViewId="0">
      <pane xSplit="2" topLeftCell="C1" activePane="topRight" state="frozen"/>
      <selection pane="topRight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45962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45962</v>
      </c>
      <c r="J3" s="141">
        <f t="shared" ref="J3:W3" si="0">I3+1</f>
        <v>45963</v>
      </c>
      <c r="K3" s="141">
        <f t="shared" si="0"/>
        <v>45964</v>
      </c>
      <c r="L3" s="141">
        <f t="shared" si="0"/>
        <v>45965</v>
      </c>
      <c r="M3" s="141">
        <f t="shared" si="0"/>
        <v>45966</v>
      </c>
      <c r="N3" s="141">
        <f t="shared" si="0"/>
        <v>45967</v>
      </c>
      <c r="O3" s="141">
        <f t="shared" si="0"/>
        <v>45968</v>
      </c>
      <c r="P3" s="141">
        <f t="shared" si="0"/>
        <v>45969</v>
      </c>
      <c r="Q3" s="141">
        <f t="shared" si="0"/>
        <v>45970</v>
      </c>
      <c r="R3" s="141">
        <f t="shared" si="0"/>
        <v>45971</v>
      </c>
      <c r="S3" s="141">
        <f t="shared" si="0"/>
        <v>45972</v>
      </c>
      <c r="T3" s="141">
        <f t="shared" si="0"/>
        <v>45973</v>
      </c>
      <c r="U3" s="141">
        <f t="shared" si="0"/>
        <v>45974</v>
      </c>
      <c r="V3" s="141">
        <f t="shared" si="0"/>
        <v>45975</v>
      </c>
      <c r="W3" s="141">
        <f t="shared" si="0"/>
        <v>45976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222" t="str">
        <f t="shared" si="1"/>
        <v>Tue</v>
      </c>
      <c r="M4" s="222" t="str">
        <f t="shared" si="1"/>
        <v>Wed</v>
      </c>
      <c r="N4" s="221" t="str">
        <f t="shared" si="1"/>
        <v>Thu</v>
      </c>
      <c r="O4" s="221" t="str">
        <f t="shared" si="1"/>
        <v>Fri</v>
      </c>
      <c r="P4" s="222" t="str">
        <f t="shared" si="1"/>
        <v>Sat</v>
      </c>
      <c r="Q4" s="222" t="str">
        <f t="shared" si="1"/>
        <v>Sun</v>
      </c>
      <c r="R4" s="222" t="str">
        <f t="shared" si="1"/>
        <v>Mon</v>
      </c>
      <c r="S4" s="222" t="str">
        <f t="shared" si="1"/>
        <v>Tue</v>
      </c>
      <c r="T4" s="222" t="str">
        <f t="shared" si="1"/>
        <v>Wed</v>
      </c>
      <c r="U4" s="222" t="str">
        <f t="shared" si="1"/>
        <v>Thu</v>
      </c>
      <c r="V4" s="222" t="str">
        <f t="shared" si="1"/>
        <v>Fri</v>
      </c>
      <c r="W4" s="222" t="str">
        <f t="shared" si="1"/>
        <v>Sat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00"/>
      <c r="J5" s="200"/>
      <c r="K5" s="183">
        <v>8</v>
      </c>
      <c r="L5" s="183">
        <v>8</v>
      </c>
      <c r="M5" s="183">
        <v>8</v>
      </c>
      <c r="N5" s="183">
        <v>8</v>
      </c>
      <c r="O5" s="183">
        <v>8</v>
      </c>
      <c r="P5" s="200"/>
      <c r="Q5" s="200"/>
      <c r="R5" s="183">
        <v>8</v>
      </c>
      <c r="S5" s="183">
        <v>8</v>
      </c>
      <c r="T5" s="183">
        <v>8</v>
      </c>
      <c r="U5" s="183">
        <v>8</v>
      </c>
      <c r="V5" s="183">
        <v>8</v>
      </c>
      <c r="W5" s="200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200"/>
      <c r="J6" s="200"/>
      <c r="K6" s="236"/>
      <c r="L6" s="183">
        <v>8</v>
      </c>
      <c r="M6" s="183">
        <v>8</v>
      </c>
      <c r="N6" s="183">
        <v>8</v>
      </c>
      <c r="O6" s="183">
        <v>8</v>
      </c>
      <c r="P6" s="200"/>
      <c r="Q6" s="200"/>
      <c r="R6" s="183">
        <v>8</v>
      </c>
      <c r="S6" s="183">
        <v>8</v>
      </c>
      <c r="T6" s="183">
        <v>8</v>
      </c>
      <c r="U6" s="183">
        <v>8</v>
      </c>
      <c r="V6" s="183">
        <v>8</v>
      </c>
      <c r="W6" s="200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00"/>
      <c r="J7" s="200"/>
      <c r="K7" s="183">
        <v>8</v>
      </c>
      <c r="L7" s="183">
        <v>8</v>
      </c>
      <c r="M7" s="183">
        <v>8</v>
      </c>
      <c r="N7" s="183">
        <v>8</v>
      </c>
      <c r="O7" s="183">
        <v>8</v>
      </c>
      <c r="P7" s="200"/>
      <c r="Q7" s="200"/>
      <c r="R7" s="236"/>
      <c r="S7" s="183">
        <v>8</v>
      </c>
      <c r="T7" s="183">
        <v>8</v>
      </c>
      <c r="U7" s="183">
        <v>8</v>
      </c>
      <c r="V7" s="183">
        <v>8</v>
      </c>
      <c r="W7" s="200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72</v>
      </c>
      <c r="G8" s="134">
        <f t="shared" si="5"/>
        <v>72</v>
      </c>
      <c r="H8" s="135">
        <v>0</v>
      </c>
      <c r="I8" s="200"/>
      <c r="J8" s="200"/>
      <c r="K8" s="183">
        <v>8</v>
      </c>
      <c r="L8" s="183">
        <v>8</v>
      </c>
      <c r="M8" s="183">
        <v>8</v>
      </c>
      <c r="N8" s="183">
        <v>8</v>
      </c>
      <c r="O8" s="183">
        <v>8</v>
      </c>
      <c r="P8" s="200"/>
      <c r="Q8" s="200"/>
      <c r="R8" s="183">
        <v>8</v>
      </c>
      <c r="S8" s="183">
        <v>8</v>
      </c>
      <c r="T8" s="183">
        <v>8</v>
      </c>
      <c r="U8" s="183">
        <v>8</v>
      </c>
      <c r="V8" s="236"/>
      <c r="W8" s="200"/>
      <c r="X8" s="134">
        <f t="shared" si="6"/>
        <v>1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00"/>
      <c r="J9" s="200"/>
      <c r="K9" s="183">
        <v>8</v>
      </c>
      <c r="L9" s="183">
        <v>8</v>
      </c>
      <c r="M9" s="183">
        <v>8</v>
      </c>
      <c r="N9" s="183">
        <v>8</v>
      </c>
      <c r="O9" s="183">
        <v>8</v>
      </c>
      <c r="P9" s="200"/>
      <c r="Q9" s="200"/>
      <c r="R9" s="183">
        <v>8</v>
      </c>
      <c r="S9" s="183">
        <v>8</v>
      </c>
      <c r="T9" s="183">
        <v>8</v>
      </c>
      <c r="U9" s="183">
        <v>8</v>
      </c>
      <c r="V9" s="183">
        <v>8</v>
      </c>
      <c r="W9" s="200"/>
      <c r="X9" s="134">
        <f t="shared" si="6"/>
        <v>0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00"/>
      <c r="J10" s="200"/>
      <c r="K10" s="183">
        <v>8</v>
      </c>
      <c r="L10" s="183">
        <v>8</v>
      </c>
      <c r="M10" s="183">
        <v>8</v>
      </c>
      <c r="N10" s="183">
        <v>8</v>
      </c>
      <c r="O10" s="183">
        <v>8</v>
      </c>
      <c r="P10" s="200"/>
      <c r="Q10" s="200"/>
      <c r="R10" s="183">
        <v>8</v>
      </c>
      <c r="S10" s="183">
        <v>8</v>
      </c>
      <c r="T10" s="183">
        <v>8</v>
      </c>
      <c r="U10" s="183">
        <v>8</v>
      </c>
      <c r="V10" s="236"/>
      <c r="W10" s="200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0</v>
      </c>
      <c r="J15" s="224">
        <f t="shared" si="8"/>
        <v>0</v>
      </c>
      <c r="K15" s="224">
        <f t="shared" si="8"/>
        <v>40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0</v>
      </c>
      <c r="Q15" s="224">
        <f t="shared" si="8"/>
        <v>0</v>
      </c>
      <c r="R15" s="224">
        <f t="shared" si="8"/>
        <v>40</v>
      </c>
      <c r="S15" s="224">
        <f t="shared" si="8"/>
        <v>48</v>
      </c>
      <c r="T15" s="224">
        <f t="shared" si="8"/>
        <v>48</v>
      </c>
      <c r="U15" s="224">
        <f t="shared" si="8"/>
        <v>48</v>
      </c>
      <c r="V15" s="224">
        <f t="shared" si="8"/>
        <v>32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45977</v>
      </c>
      <c r="J18" s="141">
        <f t="shared" ref="J18:W18" si="9">I18+1</f>
        <v>45978</v>
      </c>
      <c r="K18" s="141">
        <f t="shared" si="9"/>
        <v>45979</v>
      </c>
      <c r="L18" s="141">
        <f t="shared" si="9"/>
        <v>45980</v>
      </c>
      <c r="M18" s="141">
        <f t="shared" si="9"/>
        <v>45981</v>
      </c>
      <c r="N18" s="141">
        <f t="shared" si="9"/>
        <v>45982</v>
      </c>
      <c r="O18" s="141">
        <f t="shared" si="9"/>
        <v>45983</v>
      </c>
      <c r="P18" s="141">
        <f t="shared" si="9"/>
        <v>45984</v>
      </c>
      <c r="Q18" s="141">
        <f t="shared" si="9"/>
        <v>45985</v>
      </c>
      <c r="R18" s="141">
        <f t="shared" si="9"/>
        <v>45986</v>
      </c>
      <c r="S18" s="141">
        <f t="shared" si="9"/>
        <v>45987</v>
      </c>
      <c r="T18" s="141">
        <f t="shared" si="9"/>
        <v>45988</v>
      </c>
      <c r="U18" s="141">
        <f t="shared" si="9"/>
        <v>45989</v>
      </c>
      <c r="V18" s="141">
        <f t="shared" si="9"/>
        <v>45990</v>
      </c>
      <c r="W18" s="141">
        <f t="shared" si="9"/>
        <v>45991</v>
      </c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Sun</v>
      </c>
      <c r="J19" s="222" t="str">
        <f t="shared" si="10"/>
        <v>Mon</v>
      </c>
      <c r="K19" s="222" t="str">
        <f t="shared" si="10"/>
        <v>Tue</v>
      </c>
      <c r="L19" s="222" t="str">
        <f t="shared" si="10"/>
        <v>Wed</v>
      </c>
      <c r="M19" s="222" t="str">
        <f t="shared" si="10"/>
        <v>Thu</v>
      </c>
      <c r="N19" s="222" t="str">
        <f t="shared" si="10"/>
        <v>Fri</v>
      </c>
      <c r="O19" s="222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222" t="str">
        <f t="shared" si="10"/>
        <v>Tue</v>
      </c>
      <c r="S19" s="222" t="str">
        <f t="shared" si="10"/>
        <v>Wed</v>
      </c>
      <c r="T19" s="222" t="str">
        <f t="shared" si="10"/>
        <v>Thu</v>
      </c>
      <c r="U19" s="222" t="str">
        <f t="shared" si="10"/>
        <v>Fri</v>
      </c>
      <c r="V19" s="222" t="str">
        <f t="shared" si="10"/>
        <v>Sat</v>
      </c>
      <c r="W19" s="127" t="str">
        <f t="shared" si="10"/>
        <v>Sun</v>
      </c>
      <c r="X19" s="127"/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3">
        <v>8</v>
      </c>
      <c r="R20" s="180">
        <v>8</v>
      </c>
      <c r="S20" s="180">
        <v>8</v>
      </c>
      <c r="T20" s="180">
        <v>8</v>
      </c>
      <c r="U20" s="180">
        <v>8</v>
      </c>
      <c r="V20" s="200"/>
      <c r="W20" s="200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80</v>
      </c>
      <c r="G21" s="134">
        <f t="shared" si="14"/>
        <v>80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200"/>
      <c r="P21" s="199"/>
      <c r="Q21" s="180">
        <v>8</v>
      </c>
      <c r="R21" s="183">
        <v>8</v>
      </c>
      <c r="S21" s="180">
        <v>8</v>
      </c>
      <c r="T21" s="180">
        <v>8</v>
      </c>
      <c r="U21" s="180">
        <v>8</v>
      </c>
      <c r="V21" s="200"/>
      <c r="W21" s="199"/>
      <c r="X21" s="180"/>
      <c r="Y21" s="134">
        <f t="shared" si="15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80</v>
      </c>
      <c r="G22" s="134">
        <f t="shared" si="14"/>
        <v>80</v>
      </c>
      <c r="H22" s="135">
        <v>0</v>
      </c>
      <c r="I22" s="199"/>
      <c r="J22" s="180">
        <v>8</v>
      </c>
      <c r="K22" s="180">
        <v>8</v>
      </c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199"/>
      <c r="W22" s="199"/>
      <c r="X22" s="180"/>
      <c r="Y22" s="134">
        <f t="shared" si="15"/>
        <v>0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200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0"/>
      <c r="W23" s="199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0">
        <v>8</v>
      </c>
      <c r="N24" s="180">
        <v>8</v>
      </c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199"/>
      <c r="W24" s="199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64</v>
      </c>
      <c r="G25" s="134">
        <f t="shared" si="14"/>
        <v>64</v>
      </c>
      <c r="H25" s="135">
        <v>0</v>
      </c>
      <c r="I25" s="200"/>
      <c r="J25" s="183">
        <v>8</v>
      </c>
      <c r="K25" s="183">
        <v>8</v>
      </c>
      <c r="L25" s="183">
        <v>8</v>
      </c>
      <c r="M25" s="183">
        <v>8</v>
      </c>
      <c r="N25" s="236"/>
      <c r="O25" s="200"/>
      <c r="P25" s="200"/>
      <c r="Q25" s="236"/>
      <c r="R25" s="183">
        <v>8</v>
      </c>
      <c r="S25" s="183">
        <v>8</v>
      </c>
      <c r="T25" s="183">
        <v>8</v>
      </c>
      <c r="U25" s="183">
        <v>8</v>
      </c>
      <c r="V25" s="200"/>
      <c r="W25" s="200"/>
      <c r="X25" s="180"/>
      <c r="Y25" s="134">
        <f t="shared" si="15"/>
        <v>2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464</v>
      </c>
      <c r="G30" s="224">
        <f t="shared" si="16"/>
        <v>464</v>
      </c>
      <c r="H30" s="224">
        <f t="shared" si="16"/>
        <v>0</v>
      </c>
      <c r="I30" s="224">
        <f t="shared" si="16"/>
        <v>0</v>
      </c>
      <c r="J30" s="224">
        <f t="shared" si="16"/>
        <v>48</v>
      </c>
      <c r="K30" s="224">
        <f t="shared" si="16"/>
        <v>48</v>
      </c>
      <c r="L30" s="224">
        <f t="shared" si="16"/>
        <v>48</v>
      </c>
      <c r="M30" s="224">
        <f t="shared" si="16"/>
        <v>48</v>
      </c>
      <c r="N30" s="224">
        <f t="shared" si="16"/>
        <v>40</v>
      </c>
      <c r="O30" s="224">
        <f t="shared" si="16"/>
        <v>0</v>
      </c>
      <c r="P30" s="224">
        <f t="shared" si="16"/>
        <v>0</v>
      </c>
      <c r="Q30" s="224">
        <f t="shared" si="16"/>
        <v>40</v>
      </c>
      <c r="R30" s="224">
        <f t="shared" si="16"/>
        <v>48</v>
      </c>
      <c r="S30" s="224">
        <f t="shared" si="16"/>
        <v>48</v>
      </c>
      <c r="T30" s="224">
        <f t="shared" si="16"/>
        <v>48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152</v>
      </c>
      <c r="C35" s="154">
        <f t="shared" si="17"/>
        <v>160</v>
      </c>
      <c r="D35" s="155">
        <f t="shared" si="18"/>
        <v>152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152</v>
      </c>
      <c r="C36" s="154">
        <f t="shared" si="17"/>
        <v>160</v>
      </c>
      <c r="D36" s="155">
        <f t="shared" si="18"/>
        <v>152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160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160</v>
      </c>
      <c r="C38" s="217">
        <f t="shared" si="17"/>
        <v>160</v>
      </c>
      <c r="D38" s="218">
        <f t="shared" si="18"/>
        <v>160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68A63-5768-4DEE-A5B7-D9C2CA6C161F}">
  <sheetPr>
    <tabColor theme="6" tint="0.39997558519241921"/>
  </sheetPr>
  <dimension ref="A1:AI997"/>
  <sheetViews>
    <sheetView showGridLines="0" tabSelected="1" topLeftCell="A18" workbookViewId="0">
      <pane xSplit="2" topLeftCell="C1" activePane="topRight" state="frozen"/>
      <selection pane="topRight" activeCell="K34" sqref="K34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9.1796875" style="115" customWidth="1"/>
    <col min="6" max="6" width="8.816406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 thickBo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0" t="s">
        <v>6</v>
      </c>
      <c r="Y3" s="260" t="s">
        <v>7</v>
      </c>
      <c r="Z3" s="209"/>
      <c r="AA3" s="210"/>
      <c r="AB3" s="114"/>
    </row>
    <row r="4" spans="1:35" ht="27" customHeight="1" thickBo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39</v>
      </c>
      <c r="B5" s="132" t="s">
        <v>45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245" t="s">
        <v>47</v>
      </c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45" t="s">
        <v>47</v>
      </c>
      <c r="P5" s="245" t="s">
        <v>47</v>
      </c>
      <c r="Q5" s="183">
        <v>8</v>
      </c>
      <c r="R5" s="271">
        <v>8</v>
      </c>
      <c r="S5" s="183">
        <v>8</v>
      </c>
      <c r="T5" s="271">
        <v>8</v>
      </c>
      <c r="U5" s="183">
        <v>8</v>
      </c>
      <c r="V5" s="245" t="s">
        <v>47</v>
      </c>
      <c r="W5" s="245" t="s">
        <v>47</v>
      </c>
      <c r="X5" s="134"/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41</v>
      </c>
      <c r="B6" s="132" t="s">
        <v>45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245" t="s">
        <v>47</v>
      </c>
      <c r="J6" s="183">
        <v>8</v>
      </c>
      <c r="K6" s="183">
        <v>8</v>
      </c>
      <c r="L6" s="183">
        <v>8</v>
      </c>
      <c r="M6" s="183">
        <v>8</v>
      </c>
      <c r="N6" s="183">
        <v>8</v>
      </c>
      <c r="O6" s="245" t="s">
        <v>47</v>
      </c>
      <c r="P6" s="245" t="s">
        <v>47</v>
      </c>
      <c r="Q6" s="183">
        <v>8</v>
      </c>
      <c r="R6" s="183">
        <v>8</v>
      </c>
      <c r="S6" s="183">
        <v>8</v>
      </c>
      <c r="T6" s="183">
        <v>8</v>
      </c>
      <c r="U6" s="183">
        <v>8</v>
      </c>
      <c r="V6" s="245" t="s">
        <v>47</v>
      </c>
      <c r="W6" s="245" t="s">
        <v>47</v>
      </c>
      <c r="X6" s="134"/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40</v>
      </c>
      <c r="B7" s="132" t="s">
        <v>45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45" t="s">
        <v>47</v>
      </c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45" t="s">
        <v>47</v>
      </c>
      <c r="P7" s="245" t="s">
        <v>47</v>
      </c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45" t="s">
        <v>47</v>
      </c>
      <c r="W7" s="245" t="s">
        <v>47</v>
      </c>
      <c r="X7" s="134"/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42</v>
      </c>
      <c r="B8" s="132" t="s">
        <v>45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45" t="s">
        <v>47</v>
      </c>
      <c r="J8" s="183">
        <v>8</v>
      </c>
      <c r="K8" s="243">
        <v>8</v>
      </c>
      <c r="L8" s="183">
        <v>8</v>
      </c>
      <c r="M8" s="243">
        <v>8</v>
      </c>
      <c r="N8" s="243">
        <v>8</v>
      </c>
      <c r="O8" s="245" t="s">
        <v>47</v>
      </c>
      <c r="P8" s="245" t="s">
        <v>47</v>
      </c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45" t="s">
        <v>47</v>
      </c>
      <c r="W8" s="245" t="s">
        <v>47</v>
      </c>
      <c r="X8" s="134"/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43</v>
      </c>
      <c r="B9" s="132" t="s">
        <v>45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245" t="s">
        <v>47</v>
      </c>
      <c r="J9" s="241">
        <v>8</v>
      </c>
      <c r="K9" s="183">
        <v>8</v>
      </c>
      <c r="L9" s="241">
        <v>8</v>
      </c>
      <c r="M9" s="183">
        <v>8</v>
      </c>
      <c r="N9" s="183">
        <v>8</v>
      </c>
      <c r="O9" s="245" t="s">
        <v>47</v>
      </c>
      <c r="P9" s="245" t="s">
        <v>47</v>
      </c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45" t="s">
        <v>47</v>
      </c>
      <c r="W9" s="245" t="s">
        <v>47</v>
      </c>
      <c r="X9" s="134"/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44</v>
      </c>
      <c r="B10" s="132" t="s">
        <v>45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245" t="s">
        <v>47</v>
      </c>
      <c r="J10" s="241">
        <v>8</v>
      </c>
      <c r="K10" s="241">
        <v>8</v>
      </c>
      <c r="L10" s="241">
        <v>8</v>
      </c>
      <c r="M10" s="241">
        <v>8</v>
      </c>
      <c r="N10" s="241">
        <v>8</v>
      </c>
      <c r="O10" s="245" t="s">
        <v>47</v>
      </c>
      <c r="P10" s="245" t="s">
        <v>47</v>
      </c>
      <c r="Q10" s="241">
        <v>8</v>
      </c>
      <c r="R10" s="241">
        <v>8</v>
      </c>
      <c r="S10" s="241">
        <v>8</v>
      </c>
      <c r="T10" s="241">
        <v>8</v>
      </c>
      <c r="U10" s="241">
        <v>8</v>
      </c>
      <c r="V10" s="245" t="s">
        <v>47</v>
      </c>
      <c r="W10" s="245" t="s">
        <v>47</v>
      </c>
      <c r="X10" s="134"/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ref="X11:X14" si="6">Y11-COUNTA(I11:W11)</f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>SUM(D5:D14)</f>
        <v>480</v>
      </c>
      <c r="E15" s="224">
        <f>SUM(E5:E14)</f>
        <v>480</v>
      </c>
      <c r="F15" s="224">
        <f>SUM(F5:F14)</f>
        <v>480</v>
      </c>
      <c r="G15" s="224">
        <f>SUM(G5:G14)</f>
        <v>480</v>
      </c>
      <c r="H15" s="224">
        <f>SUM(H5:H14)</f>
        <v>0</v>
      </c>
      <c r="I15" s="224">
        <f>SUM(I5:I14)</f>
        <v>0</v>
      </c>
      <c r="J15" s="224">
        <f>SUM(J5:J14)</f>
        <v>48</v>
      </c>
      <c r="K15" s="224">
        <f>SUM(K5:K14)</f>
        <v>48</v>
      </c>
      <c r="L15" s="224">
        <f>SUM(L5:L14)</f>
        <v>48</v>
      </c>
      <c r="M15" s="224">
        <f>SUM(M5:M14)</f>
        <v>48</v>
      </c>
      <c r="N15" s="224">
        <f>SUM(N5:N14)</f>
        <v>48</v>
      </c>
      <c r="O15" s="224">
        <f>SUM(O5:O14)</f>
        <v>0</v>
      </c>
      <c r="P15" s="224">
        <f>SUM(P5:P14)</f>
        <v>0</v>
      </c>
      <c r="Q15" s="224">
        <f>SUM(Q5:Q14)</f>
        <v>48</v>
      </c>
      <c r="R15" s="224">
        <f>SUM(R5:R14)</f>
        <v>48</v>
      </c>
      <c r="S15" s="224">
        <f>SUM(S5:S14)</f>
        <v>48</v>
      </c>
      <c r="T15" s="224">
        <f>SUM(T5:T14)</f>
        <v>48</v>
      </c>
      <c r="U15" s="224">
        <f>SUM(U5:U14)</f>
        <v>48</v>
      </c>
      <c r="V15" s="224">
        <f>SUM(V5:V14)</f>
        <v>0</v>
      </c>
      <c r="W15" s="224">
        <f>SUM(W5:W14)</f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46069</v>
      </c>
      <c r="J18" s="141">
        <f t="shared" ref="J18:U18" si="8">I18+1</f>
        <v>46070</v>
      </c>
      <c r="K18" s="141">
        <f t="shared" si="8"/>
        <v>46071</v>
      </c>
      <c r="L18" s="141">
        <f t="shared" si="8"/>
        <v>46072</v>
      </c>
      <c r="M18" s="141">
        <f t="shared" si="8"/>
        <v>46073</v>
      </c>
      <c r="N18" s="141">
        <f t="shared" si="8"/>
        <v>46074</v>
      </c>
      <c r="O18" s="141">
        <f t="shared" si="8"/>
        <v>46075</v>
      </c>
      <c r="P18" s="141">
        <f t="shared" si="8"/>
        <v>46076</v>
      </c>
      <c r="Q18" s="141">
        <f t="shared" si="8"/>
        <v>46077</v>
      </c>
      <c r="R18" s="141">
        <f t="shared" si="8"/>
        <v>46078</v>
      </c>
      <c r="S18" s="141">
        <f t="shared" si="8"/>
        <v>46079</v>
      </c>
      <c r="T18" s="141">
        <f t="shared" si="8"/>
        <v>46080</v>
      </c>
      <c r="U18" s="141">
        <f t="shared" si="8"/>
        <v>46081</v>
      </c>
      <c r="V18" s="141"/>
      <c r="W18" s="141"/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9">IF(I18="","",TEXT(WEEKDAY(I18), "ddd"))</f>
        <v>Mon</v>
      </c>
      <c r="J19" s="222" t="str">
        <f t="shared" si="9"/>
        <v>Tue</v>
      </c>
      <c r="K19" s="222" t="str">
        <f t="shared" si="9"/>
        <v>Wed</v>
      </c>
      <c r="L19" s="222" t="str">
        <f t="shared" si="9"/>
        <v>Thu</v>
      </c>
      <c r="M19" s="222" t="str">
        <f t="shared" si="9"/>
        <v>Fri</v>
      </c>
      <c r="N19" s="222" t="str">
        <f t="shared" si="9"/>
        <v>Sat</v>
      </c>
      <c r="O19" s="222" t="str">
        <f t="shared" si="9"/>
        <v>Sun</v>
      </c>
      <c r="P19" s="127" t="str">
        <f t="shared" si="9"/>
        <v>Mon</v>
      </c>
      <c r="Q19" s="127" t="str">
        <f t="shared" si="9"/>
        <v>Tue</v>
      </c>
      <c r="R19" s="222" t="str">
        <f t="shared" si="9"/>
        <v>Wed</v>
      </c>
      <c r="S19" s="222" t="str">
        <f t="shared" si="9"/>
        <v>Thu</v>
      </c>
      <c r="T19" s="222" t="str">
        <f t="shared" si="9"/>
        <v>Fri</v>
      </c>
      <c r="U19" s="222" t="str">
        <f t="shared" si="9"/>
        <v>Sat</v>
      </c>
      <c r="V19" s="222"/>
      <c r="W19" s="222"/>
      <c r="X19" s="222"/>
      <c r="Y19" s="261"/>
      <c r="Z19" s="261"/>
      <c r="AA19" s="209"/>
      <c r="AB19" s="114"/>
    </row>
    <row r="20" spans="1:29" ht="12.75" customHeight="1">
      <c r="A20" s="131" t="s">
        <v>39</v>
      </c>
      <c r="B20" s="132" t="s">
        <v>45</v>
      </c>
      <c r="C20" s="133">
        <v>43437</v>
      </c>
      <c r="D20" s="134">
        <f t="shared" ref="D20:D25" si="10">E20</f>
        <v>80</v>
      </c>
      <c r="E20" s="134">
        <f t="shared" ref="E20:E25" si="11">Z20*8</f>
        <v>80</v>
      </c>
      <c r="F20" s="134">
        <f t="shared" ref="F20:F25" si="12">G20+H20</f>
        <v>80</v>
      </c>
      <c r="G20" s="134">
        <f t="shared" ref="G20:G25" si="13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3">
        <v>8</v>
      </c>
      <c r="M20" s="180">
        <v>8</v>
      </c>
      <c r="N20" s="245" t="s">
        <v>47</v>
      </c>
      <c r="O20" s="245" t="s">
        <v>47</v>
      </c>
      <c r="P20" s="180">
        <v>8</v>
      </c>
      <c r="Q20" s="183">
        <v>8</v>
      </c>
      <c r="R20" s="271">
        <v>8</v>
      </c>
      <c r="S20" s="271">
        <v>8</v>
      </c>
      <c r="T20" s="180">
        <v>8</v>
      </c>
      <c r="U20" s="180"/>
      <c r="V20" s="183"/>
      <c r="W20" s="183"/>
      <c r="X20" s="180"/>
      <c r="Y20" s="134"/>
      <c r="Z20" s="136">
        <v>10</v>
      </c>
      <c r="AA20" s="209"/>
      <c r="AB20" s="114"/>
    </row>
    <row r="21" spans="1:29" ht="12.75" customHeight="1">
      <c r="A21" s="131" t="s">
        <v>41</v>
      </c>
      <c r="B21" s="132" t="s">
        <v>45</v>
      </c>
      <c r="C21" s="133">
        <v>45028</v>
      </c>
      <c r="D21" s="134">
        <f t="shared" si="10"/>
        <v>80</v>
      </c>
      <c r="E21" s="134">
        <f t="shared" si="11"/>
        <v>80</v>
      </c>
      <c r="F21" s="134">
        <f t="shared" si="12"/>
        <v>80</v>
      </c>
      <c r="G21" s="134">
        <f t="shared" si="13"/>
        <v>80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245" t="s">
        <v>47</v>
      </c>
      <c r="O21" s="245" t="s">
        <v>47</v>
      </c>
      <c r="P21" s="271">
        <v>8</v>
      </c>
      <c r="Q21" s="180">
        <v>8</v>
      </c>
      <c r="R21" s="271">
        <v>8</v>
      </c>
      <c r="S21" s="271">
        <v>8</v>
      </c>
      <c r="T21" s="180">
        <v>8</v>
      </c>
      <c r="U21" s="180"/>
      <c r="V21" s="180"/>
      <c r="W21" s="180"/>
      <c r="X21" s="180"/>
      <c r="Y21" s="134"/>
      <c r="Z21" s="136">
        <v>10</v>
      </c>
      <c r="AA21" s="209"/>
      <c r="AB21" s="114"/>
    </row>
    <row r="22" spans="1:29" ht="12.75" customHeight="1">
      <c r="A22" s="131" t="s">
        <v>40</v>
      </c>
      <c r="B22" s="132" t="s">
        <v>45</v>
      </c>
      <c r="C22" s="133">
        <v>43395</v>
      </c>
      <c r="D22" s="134">
        <f t="shared" si="10"/>
        <v>80</v>
      </c>
      <c r="E22" s="134">
        <f t="shared" si="11"/>
        <v>80</v>
      </c>
      <c r="F22" s="134">
        <f t="shared" si="12"/>
        <v>80</v>
      </c>
      <c r="G22" s="134">
        <f t="shared" si="13"/>
        <v>80</v>
      </c>
      <c r="H22" s="135">
        <v>0</v>
      </c>
      <c r="I22" s="180">
        <v>8</v>
      </c>
      <c r="J22" s="180">
        <v>8</v>
      </c>
      <c r="K22" s="180">
        <v>8</v>
      </c>
      <c r="L22" s="180">
        <v>8</v>
      </c>
      <c r="M22" s="180">
        <v>8</v>
      </c>
      <c r="N22" s="245" t="s">
        <v>47</v>
      </c>
      <c r="O22" s="245" t="s">
        <v>47</v>
      </c>
      <c r="P22" s="180">
        <v>8</v>
      </c>
      <c r="Q22" s="180">
        <v>8</v>
      </c>
      <c r="R22" s="271">
        <v>8</v>
      </c>
      <c r="S22" s="271">
        <v>8</v>
      </c>
      <c r="T22" s="180">
        <v>8</v>
      </c>
      <c r="U22" s="180"/>
      <c r="V22" s="180"/>
      <c r="W22" s="180"/>
      <c r="X22" s="180"/>
      <c r="Y22" s="134"/>
      <c r="Z22" s="136">
        <v>10</v>
      </c>
      <c r="AA22" s="209"/>
      <c r="AB22" s="114"/>
    </row>
    <row r="23" spans="1:29" ht="12.75" customHeight="1">
      <c r="A23" s="131" t="s">
        <v>42</v>
      </c>
      <c r="B23" s="132" t="s">
        <v>45</v>
      </c>
      <c r="C23" s="138">
        <v>43741</v>
      </c>
      <c r="D23" s="134">
        <f t="shared" si="10"/>
        <v>80</v>
      </c>
      <c r="E23" s="134">
        <f t="shared" si="11"/>
        <v>80</v>
      </c>
      <c r="F23" s="134">
        <f t="shared" si="12"/>
        <v>80</v>
      </c>
      <c r="G23" s="134">
        <f t="shared" si="13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245" t="s">
        <v>47</v>
      </c>
      <c r="O23" s="245" t="s">
        <v>47</v>
      </c>
      <c r="P23" s="183">
        <v>8</v>
      </c>
      <c r="Q23" s="180">
        <v>8</v>
      </c>
      <c r="R23" s="271">
        <v>8</v>
      </c>
      <c r="S23" s="271">
        <v>8</v>
      </c>
      <c r="T23" s="271">
        <v>8</v>
      </c>
      <c r="U23" s="180"/>
      <c r="V23" s="180"/>
      <c r="W23" s="183"/>
      <c r="X23" s="180"/>
      <c r="Y23" s="134"/>
      <c r="Z23" s="136">
        <v>10</v>
      </c>
      <c r="AA23" s="209"/>
      <c r="AB23" s="114"/>
    </row>
    <row r="24" spans="1:29" ht="12.75" customHeight="1">
      <c r="A24" s="139" t="s">
        <v>43</v>
      </c>
      <c r="B24" s="132" t="s">
        <v>45</v>
      </c>
      <c r="C24" s="138">
        <v>43731</v>
      </c>
      <c r="D24" s="134">
        <f t="shared" si="10"/>
        <v>80</v>
      </c>
      <c r="E24" s="134">
        <f t="shared" si="11"/>
        <v>80</v>
      </c>
      <c r="F24" s="134">
        <f t="shared" si="12"/>
        <v>80</v>
      </c>
      <c r="G24" s="134">
        <f t="shared" si="13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271">
        <v>8</v>
      </c>
      <c r="N24" s="245" t="s">
        <v>47</v>
      </c>
      <c r="O24" s="245" t="s">
        <v>47</v>
      </c>
      <c r="P24" s="272">
        <v>8</v>
      </c>
      <c r="Q24" s="271">
        <v>8</v>
      </c>
      <c r="R24" s="271">
        <v>8</v>
      </c>
      <c r="S24" s="271">
        <v>8</v>
      </c>
      <c r="T24" s="271">
        <v>8</v>
      </c>
      <c r="U24" s="271"/>
      <c r="V24" s="271"/>
      <c r="W24" s="271"/>
      <c r="X24" s="180"/>
      <c r="Y24" s="134"/>
      <c r="Z24" s="136">
        <v>10</v>
      </c>
      <c r="AA24" s="209"/>
      <c r="AB24" s="114"/>
    </row>
    <row r="25" spans="1:29" ht="12.75" customHeight="1">
      <c r="A25" s="139" t="s">
        <v>44</v>
      </c>
      <c r="B25" s="132" t="s">
        <v>45</v>
      </c>
      <c r="C25" s="138">
        <v>45628</v>
      </c>
      <c r="D25" s="134">
        <f t="shared" si="10"/>
        <v>80</v>
      </c>
      <c r="E25" s="134">
        <f t="shared" si="11"/>
        <v>80</v>
      </c>
      <c r="F25" s="134">
        <f t="shared" si="12"/>
        <v>80</v>
      </c>
      <c r="G25" s="134">
        <f t="shared" si="13"/>
        <v>80</v>
      </c>
      <c r="H25" s="135">
        <v>0</v>
      </c>
      <c r="I25" s="241">
        <v>8</v>
      </c>
      <c r="J25" s="241">
        <v>8</v>
      </c>
      <c r="K25" s="241">
        <v>8</v>
      </c>
      <c r="L25" s="241">
        <v>8</v>
      </c>
      <c r="M25" s="273">
        <v>8</v>
      </c>
      <c r="N25" s="245" t="s">
        <v>47</v>
      </c>
      <c r="O25" s="245" t="s">
        <v>47</v>
      </c>
      <c r="P25" s="241">
        <v>8</v>
      </c>
      <c r="Q25" s="241">
        <v>8</v>
      </c>
      <c r="R25" s="271">
        <v>8</v>
      </c>
      <c r="S25" s="271">
        <v>8</v>
      </c>
      <c r="T25" s="241">
        <v>8</v>
      </c>
      <c r="U25" s="241"/>
      <c r="V25" s="241"/>
      <c r="W25" s="241"/>
      <c r="X25" s="241"/>
      <c r="Y25" s="134"/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>SUM(D20:D29)</f>
        <v>480</v>
      </c>
      <c r="E30" s="224">
        <f>SUM(E20:E29)</f>
        <v>480</v>
      </c>
      <c r="F30" s="224">
        <f>SUM(F20:F29)</f>
        <v>480</v>
      </c>
      <c r="G30" s="224">
        <f>SUM(G20:G29)</f>
        <v>480</v>
      </c>
      <c r="H30" s="224">
        <f>SUM(H20:H29)</f>
        <v>0</v>
      </c>
      <c r="I30" s="224">
        <f>SUM(I20:I29)</f>
        <v>48</v>
      </c>
      <c r="J30" s="224">
        <f>SUM(J20:J29)</f>
        <v>48</v>
      </c>
      <c r="K30" s="224">
        <f>SUM(K20:K29)</f>
        <v>48</v>
      </c>
      <c r="L30" s="224">
        <f>SUM(L20:L29)</f>
        <v>48</v>
      </c>
      <c r="M30" s="224">
        <f>SUM(M20:M29)</f>
        <v>48</v>
      </c>
      <c r="N30" s="224">
        <f>SUM(N20:N29)</f>
        <v>0</v>
      </c>
      <c r="O30" s="224">
        <f>SUM(O20:O29)</f>
        <v>0</v>
      </c>
      <c r="P30" s="224">
        <f>SUM(P20:P29)</f>
        <v>48</v>
      </c>
      <c r="Q30" s="224">
        <f>SUM(Q20:Q29)</f>
        <v>48</v>
      </c>
      <c r="R30" s="224">
        <f>SUM(R20:R29)</f>
        <v>48</v>
      </c>
      <c r="S30" s="224">
        <f>SUM(S20:S29)</f>
        <v>48</v>
      </c>
      <c r="T30" s="224">
        <f>SUM(T20:T29)</f>
        <v>48</v>
      </c>
      <c r="U30" s="224">
        <f>SUM(U20:U29)</f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 thickBo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246" t="s">
        <v>25</v>
      </c>
      <c r="E33" s="246" t="s">
        <v>38</v>
      </c>
      <c r="F33" s="246" t="s">
        <v>46</v>
      </c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31" t="s">
        <v>39</v>
      </c>
      <c r="B34" s="153">
        <f>F5+F20</f>
        <v>160</v>
      </c>
      <c r="C34" s="154">
        <f>E5+E20</f>
        <v>160</v>
      </c>
      <c r="D34" s="247">
        <f t="shared" ref="D34:D39" si="14">B34</f>
        <v>160</v>
      </c>
      <c r="E34" s="250">
        <v>29</v>
      </c>
      <c r="F34" s="250" cm="1">
        <f t="array" ref="F34">MMULT(B34,E34)</f>
        <v>4640</v>
      </c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31" t="s">
        <v>41</v>
      </c>
      <c r="B35" s="153">
        <f>F6+F21</f>
        <v>160</v>
      </c>
      <c r="C35" s="154">
        <f>E6+E21</f>
        <v>160</v>
      </c>
      <c r="D35" s="247">
        <f t="shared" si="14"/>
        <v>160</v>
      </c>
      <c r="E35" s="250">
        <v>32</v>
      </c>
      <c r="F35" s="274" cm="1">
        <f t="array" ref="F35">MMULT(B35,E35)</f>
        <v>5120</v>
      </c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31" t="s">
        <v>40</v>
      </c>
      <c r="B36" s="153">
        <f>F7+F22</f>
        <v>160</v>
      </c>
      <c r="C36" s="154">
        <f>E7+E22</f>
        <v>160</v>
      </c>
      <c r="D36" s="247">
        <f t="shared" si="14"/>
        <v>160</v>
      </c>
      <c r="E36" s="250">
        <v>36</v>
      </c>
      <c r="F36" s="250" cm="1">
        <f t="array" ref="F36">MMULT(B36,E36)</f>
        <v>5760</v>
      </c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31" t="s">
        <v>42</v>
      </c>
      <c r="B37" s="153">
        <f>F8+F23</f>
        <v>160</v>
      </c>
      <c r="C37" s="154">
        <f>E8+E23</f>
        <v>160</v>
      </c>
      <c r="D37" s="247">
        <f t="shared" si="14"/>
        <v>160</v>
      </c>
      <c r="E37" s="250">
        <v>23</v>
      </c>
      <c r="F37" s="250" cm="1">
        <f t="array" ref="F37">MMULT(B37,E37)</f>
        <v>3680</v>
      </c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39" t="s">
        <v>43</v>
      </c>
      <c r="B38" s="216">
        <f>F9+F24</f>
        <v>160</v>
      </c>
      <c r="C38" s="217">
        <f>E9+E24</f>
        <v>160</v>
      </c>
      <c r="D38" s="248">
        <f t="shared" si="14"/>
        <v>160</v>
      </c>
      <c r="E38" s="250">
        <v>28</v>
      </c>
      <c r="F38" s="251" cm="1">
        <f t="array" ref="F38">MMULT(B38,E38)</f>
        <v>4480</v>
      </c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 thickBot="1">
      <c r="A39" s="139" t="s">
        <v>44</v>
      </c>
      <c r="B39" s="158">
        <f>G10+G25</f>
        <v>160</v>
      </c>
      <c r="C39" s="159">
        <f>E10+E25</f>
        <v>160</v>
      </c>
      <c r="D39" s="249">
        <f t="shared" si="14"/>
        <v>160</v>
      </c>
      <c r="E39" s="250">
        <v>27</v>
      </c>
      <c r="F39" s="251" cm="1">
        <f t="array" ref="F39">MMULT(B39,E39)</f>
        <v>4320</v>
      </c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5">B40</f>
        <v>0</v>
      </c>
      <c r="D40" s="214">
        <f t="shared" si="15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5"/>
        <v>0</v>
      </c>
      <c r="D41" s="155">
        <f t="shared" si="15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5"/>
        <v>0</v>
      </c>
      <c r="D42" s="155">
        <f t="shared" si="15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5"/>
        <v>0</v>
      </c>
      <c r="D43" s="160">
        <f t="shared" si="15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 thickBo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16">B48-B49</f>
        <v>10</v>
      </c>
      <c r="C50" s="173">
        <f t="shared" si="16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17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17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18">B55-B56</f>
        <v>12</v>
      </c>
      <c r="C57" s="173">
        <f t="shared" si="18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308DE-EA46-4CE1-BF16-FB46EAAC3A4E}">
  <sheetPr>
    <tabColor theme="6" tint="0.39997558519241921"/>
  </sheetPr>
  <dimension ref="A1:AI997"/>
  <sheetViews>
    <sheetView showGridLines="0" workbookViewId="0">
      <pane xSplit="2" topLeftCell="C1" activePane="topRight" state="frozen"/>
      <selection pane="topRight" activeCell="S21" sqref="S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46054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46054</v>
      </c>
      <c r="J3" s="141">
        <f t="shared" ref="J3:W3" si="0">I3+1</f>
        <v>46055</v>
      </c>
      <c r="K3" s="141">
        <f t="shared" si="0"/>
        <v>46056</v>
      </c>
      <c r="L3" s="141">
        <f t="shared" si="0"/>
        <v>46057</v>
      </c>
      <c r="M3" s="141">
        <f t="shared" si="0"/>
        <v>46058</v>
      </c>
      <c r="N3" s="141">
        <f t="shared" si="0"/>
        <v>46059</v>
      </c>
      <c r="O3" s="141">
        <f t="shared" si="0"/>
        <v>46060</v>
      </c>
      <c r="P3" s="141">
        <f t="shared" si="0"/>
        <v>46061</v>
      </c>
      <c r="Q3" s="141">
        <f t="shared" si="0"/>
        <v>46062</v>
      </c>
      <c r="R3" s="141">
        <f t="shared" si="0"/>
        <v>46063</v>
      </c>
      <c r="S3" s="141">
        <f t="shared" si="0"/>
        <v>46064</v>
      </c>
      <c r="T3" s="141">
        <f t="shared" si="0"/>
        <v>46065</v>
      </c>
      <c r="U3" s="141">
        <f t="shared" si="0"/>
        <v>46066</v>
      </c>
      <c r="V3" s="141">
        <f t="shared" si="0"/>
        <v>46067</v>
      </c>
      <c r="W3" s="141">
        <f t="shared" si="0"/>
        <v>46068</v>
      </c>
      <c r="X3" s="260" t="s">
        <v>6</v>
      </c>
      <c r="Y3" s="260" t="s">
        <v>7</v>
      </c>
      <c r="Z3" s="209"/>
      <c r="AA3" s="210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Sun</v>
      </c>
      <c r="J4" s="127" t="str">
        <f t="shared" si="1"/>
        <v>Mon</v>
      </c>
      <c r="K4" s="127" t="str">
        <f t="shared" si="1"/>
        <v>Tue</v>
      </c>
      <c r="L4" s="222" t="str">
        <f t="shared" si="1"/>
        <v>Wed</v>
      </c>
      <c r="M4" s="222" t="str">
        <f t="shared" si="1"/>
        <v>Thu</v>
      </c>
      <c r="N4" s="221" t="str">
        <f t="shared" si="1"/>
        <v>Fri</v>
      </c>
      <c r="O4" s="221" t="str">
        <f t="shared" si="1"/>
        <v>Sat</v>
      </c>
      <c r="P4" s="222" t="str">
        <f t="shared" si="1"/>
        <v>Sun</v>
      </c>
      <c r="Q4" s="222" t="str">
        <f t="shared" si="1"/>
        <v>Mon</v>
      </c>
      <c r="R4" s="222" t="str">
        <f t="shared" si="1"/>
        <v>Tue</v>
      </c>
      <c r="S4" s="222" t="str">
        <f t="shared" si="1"/>
        <v>Wed</v>
      </c>
      <c r="T4" s="222" t="str">
        <f t="shared" si="1"/>
        <v>Thu</v>
      </c>
      <c r="U4" s="222" t="str">
        <f t="shared" si="1"/>
        <v>Fri</v>
      </c>
      <c r="V4" s="222" t="str">
        <f t="shared" si="1"/>
        <v>Sat</v>
      </c>
      <c r="W4" s="222" t="str">
        <f t="shared" si="1"/>
        <v>Sun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00"/>
      <c r="J5" s="183">
        <v>8</v>
      </c>
      <c r="K5" s="183">
        <v>8</v>
      </c>
      <c r="L5" s="183">
        <v>8</v>
      </c>
      <c r="M5" s="183">
        <v>8</v>
      </c>
      <c r="N5" s="183">
        <v>8</v>
      </c>
      <c r="O5" s="200"/>
      <c r="P5" s="200"/>
      <c r="Q5" s="183">
        <v>8</v>
      </c>
      <c r="R5" s="183">
        <v>8</v>
      </c>
      <c r="S5" s="183">
        <v>8</v>
      </c>
      <c r="T5" s="183">
        <v>8</v>
      </c>
      <c r="U5" s="183">
        <v>8</v>
      </c>
      <c r="V5" s="200"/>
      <c r="W5" s="200"/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64</v>
      </c>
      <c r="G6" s="134">
        <f t="shared" ref="G6:G10" si="5">SUM(I6:W6)</f>
        <v>64</v>
      </c>
      <c r="H6" s="135">
        <v>0</v>
      </c>
      <c r="I6" s="200"/>
      <c r="J6" s="183">
        <v>8</v>
      </c>
      <c r="K6" s="236"/>
      <c r="L6" s="183">
        <v>8</v>
      </c>
      <c r="M6" s="183">
        <v>8</v>
      </c>
      <c r="N6" s="183">
        <v>8</v>
      </c>
      <c r="O6" s="200"/>
      <c r="P6" s="200"/>
      <c r="Q6" s="183">
        <v>8</v>
      </c>
      <c r="R6" s="236"/>
      <c r="S6" s="183">
        <v>8</v>
      </c>
      <c r="T6" s="183">
        <v>8</v>
      </c>
      <c r="U6" s="183">
        <v>8</v>
      </c>
      <c r="V6" s="200"/>
      <c r="W6" s="200"/>
      <c r="X6" s="134">
        <f t="shared" ref="X6:X14" si="6">Y6-COUNTA(I6:W6)</f>
        <v>2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80</v>
      </c>
      <c r="G7" s="134">
        <f t="shared" si="5"/>
        <v>80</v>
      </c>
      <c r="H7" s="135">
        <v>0</v>
      </c>
      <c r="I7" s="200"/>
      <c r="J7" s="183">
        <v>8</v>
      </c>
      <c r="K7" s="183">
        <v>8</v>
      </c>
      <c r="L7" s="183">
        <v>8</v>
      </c>
      <c r="M7" s="183">
        <v>8</v>
      </c>
      <c r="N7" s="183">
        <v>8</v>
      </c>
      <c r="O7" s="200"/>
      <c r="P7" s="200"/>
      <c r="Q7" s="183">
        <v>8</v>
      </c>
      <c r="R7" s="183">
        <v>8</v>
      </c>
      <c r="S7" s="183">
        <v>8</v>
      </c>
      <c r="T7" s="183">
        <v>8</v>
      </c>
      <c r="U7" s="183">
        <v>8</v>
      </c>
      <c r="V7" s="200"/>
      <c r="W7" s="200"/>
      <c r="X7" s="134">
        <f t="shared" si="6"/>
        <v>0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00"/>
      <c r="J8" s="183">
        <v>8</v>
      </c>
      <c r="K8" s="243">
        <v>8</v>
      </c>
      <c r="L8" s="243">
        <v>8</v>
      </c>
      <c r="M8" s="243">
        <v>8</v>
      </c>
      <c r="N8" s="243">
        <v>8</v>
      </c>
      <c r="O8" s="200"/>
      <c r="P8" s="200"/>
      <c r="Q8" s="183">
        <v>8</v>
      </c>
      <c r="R8" s="183">
        <v>8</v>
      </c>
      <c r="S8" s="183">
        <v>8</v>
      </c>
      <c r="T8" s="183">
        <v>8</v>
      </c>
      <c r="U8" s="183">
        <v>8</v>
      </c>
      <c r="V8" s="200"/>
      <c r="W8" s="200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48</v>
      </c>
      <c r="G9" s="134">
        <f t="shared" si="5"/>
        <v>48</v>
      </c>
      <c r="H9" s="135">
        <v>0</v>
      </c>
      <c r="I9" s="200"/>
      <c r="J9" s="241">
        <v>8</v>
      </c>
      <c r="K9" s="236"/>
      <c r="L9" s="236"/>
      <c r="M9" s="236"/>
      <c r="N9" s="236"/>
      <c r="O9" s="242"/>
      <c r="P9" s="200"/>
      <c r="Q9" s="183">
        <v>8</v>
      </c>
      <c r="R9" s="183">
        <v>8</v>
      </c>
      <c r="S9" s="183">
        <v>8</v>
      </c>
      <c r="T9" s="183">
        <v>8</v>
      </c>
      <c r="U9" s="183">
        <v>8</v>
      </c>
      <c r="V9" s="200"/>
      <c r="W9" s="200"/>
      <c r="X9" s="134">
        <f t="shared" si="6"/>
        <v>4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56</v>
      </c>
      <c r="G10" s="134">
        <f t="shared" si="5"/>
        <v>56</v>
      </c>
      <c r="H10" s="135">
        <v>0</v>
      </c>
      <c r="I10" s="200"/>
      <c r="J10" s="183">
        <v>8</v>
      </c>
      <c r="K10" s="244">
        <v>8</v>
      </c>
      <c r="L10" s="244">
        <v>8</v>
      </c>
      <c r="M10" s="244">
        <v>8</v>
      </c>
      <c r="N10" s="244">
        <v>8</v>
      </c>
      <c r="O10" s="200"/>
      <c r="P10" s="200"/>
      <c r="Q10" s="186"/>
      <c r="R10" s="186"/>
      <c r="S10" s="186"/>
      <c r="T10" s="183">
        <v>8</v>
      </c>
      <c r="U10" s="183">
        <v>8</v>
      </c>
      <c r="V10" s="200"/>
      <c r="W10" s="200"/>
      <c r="X10" s="134">
        <f t="shared" si="6"/>
        <v>3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408</v>
      </c>
      <c r="G15" s="224">
        <f t="shared" si="8"/>
        <v>408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32</v>
      </c>
      <c r="L15" s="224">
        <f t="shared" si="8"/>
        <v>40</v>
      </c>
      <c r="M15" s="224">
        <f t="shared" si="8"/>
        <v>40</v>
      </c>
      <c r="N15" s="224">
        <f t="shared" si="8"/>
        <v>40</v>
      </c>
      <c r="O15" s="224">
        <f t="shared" si="8"/>
        <v>0</v>
      </c>
      <c r="P15" s="224">
        <f t="shared" si="8"/>
        <v>0</v>
      </c>
      <c r="Q15" s="224">
        <f t="shared" si="8"/>
        <v>40</v>
      </c>
      <c r="R15" s="224">
        <f t="shared" si="8"/>
        <v>32</v>
      </c>
      <c r="S15" s="224">
        <f t="shared" si="8"/>
        <v>40</v>
      </c>
      <c r="T15" s="224">
        <f t="shared" si="8"/>
        <v>48</v>
      </c>
      <c r="U15" s="224">
        <f t="shared" si="8"/>
        <v>48</v>
      </c>
      <c r="V15" s="224">
        <f t="shared" si="8"/>
        <v>0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46069</v>
      </c>
      <c r="J18" s="141">
        <f t="shared" ref="J18:U18" si="9">I18+1</f>
        <v>46070</v>
      </c>
      <c r="K18" s="141">
        <f t="shared" si="9"/>
        <v>46071</v>
      </c>
      <c r="L18" s="141">
        <f t="shared" si="9"/>
        <v>46072</v>
      </c>
      <c r="M18" s="141">
        <f t="shared" si="9"/>
        <v>46073</v>
      </c>
      <c r="N18" s="141">
        <f t="shared" si="9"/>
        <v>46074</v>
      </c>
      <c r="O18" s="141">
        <f t="shared" si="9"/>
        <v>46075</v>
      </c>
      <c r="P18" s="141">
        <f t="shared" si="9"/>
        <v>46076</v>
      </c>
      <c r="Q18" s="141">
        <f t="shared" si="9"/>
        <v>46077</v>
      </c>
      <c r="R18" s="141">
        <f t="shared" si="9"/>
        <v>46078</v>
      </c>
      <c r="S18" s="141">
        <f t="shared" si="9"/>
        <v>46079</v>
      </c>
      <c r="T18" s="141">
        <f t="shared" si="9"/>
        <v>46080</v>
      </c>
      <c r="U18" s="141">
        <f t="shared" si="9"/>
        <v>46081</v>
      </c>
      <c r="V18" s="141"/>
      <c r="W18" s="141"/>
      <c r="X18" s="141"/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U19" si="10">IF(I18="","",TEXT(WEEKDAY(I18), "ddd"))</f>
        <v>Mon</v>
      </c>
      <c r="J19" s="222" t="str">
        <f t="shared" si="10"/>
        <v>Tue</v>
      </c>
      <c r="K19" s="222" t="str">
        <f t="shared" si="10"/>
        <v>Wed</v>
      </c>
      <c r="L19" s="222" t="str">
        <f t="shared" si="10"/>
        <v>Thu</v>
      </c>
      <c r="M19" s="222" t="str">
        <f t="shared" si="10"/>
        <v>Fri</v>
      </c>
      <c r="N19" s="222" t="str">
        <f t="shared" si="10"/>
        <v>Sat</v>
      </c>
      <c r="O19" s="222" t="str">
        <f t="shared" si="10"/>
        <v>Sun</v>
      </c>
      <c r="P19" s="127" t="str">
        <f t="shared" si="10"/>
        <v>Mon</v>
      </c>
      <c r="Q19" s="127" t="str">
        <f t="shared" si="10"/>
        <v>Tue</v>
      </c>
      <c r="R19" s="222" t="str">
        <f t="shared" si="10"/>
        <v>Wed</v>
      </c>
      <c r="S19" s="222" t="str">
        <f t="shared" si="10"/>
        <v>Thu</v>
      </c>
      <c r="T19" s="222" t="str">
        <f t="shared" si="10"/>
        <v>Fri</v>
      </c>
      <c r="U19" s="222" t="str">
        <f t="shared" si="10"/>
        <v>Sat</v>
      </c>
      <c r="V19" s="222"/>
      <c r="W19" s="127"/>
      <c r="X19" s="127"/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3">
        <v>8</v>
      </c>
      <c r="K20" s="180">
        <v>8</v>
      </c>
      <c r="L20" s="180">
        <v>8</v>
      </c>
      <c r="M20" s="180">
        <v>8</v>
      </c>
      <c r="N20" s="199"/>
      <c r="O20" s="199"/>
      <c r="P20" s="180">
        <v>8</v>
      </c>
      <c r="Q20" s="183">
        <v>8</v>
      </c>
      <c r="R20" s="180">
        <v>8</v>
      </c>
      <c r="S20" s="183">
        <v>8</v>
      </c>
      <c r="T20" s="180">
        <v>8</v>
      </c>
      <c r="U20" s="199"/>
      <c r="V20" s="183"/>
      <c r="W20" s="183"/>
      <c r="X20" s="180"/>
      <c r="Y20" s="134">
        <f t="shared" ref="Y20:Y25" si="15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72</v>
      </c>
      <c r="G21" s="134">
        <f t="shared" si="14"/>
        <v>72</v>
      </c>
      <c r="H21" s="135">
        <v>0</v>
      </c>
      <c r="I21" s="180">
        <v>8</v>
      </c>
      <c r="J21" s="180">
        <v>8</v>
      </c>
      <c r="K21" s="180">
        <v>8</v>
      </c>
      <c r="L21" s="180">
        <v>8</v>
      </c>
      <c r="M21" s="180">
        <v>8</v>
      </c>
      <c r="N21" s="199"/>
      <c r="O21" s="200"/>
      <c r="P21" s="180">
        <v>8</v>
      </c>
      <c r="Q21" s="180">
        <v>8</v>
      </c>
      <c r="R21" s="183">
        <v>8</v>
      </c>
      <c r="S21" s="186"/>
      <c r="T21" s="180">
        <v>8</v>
      </c>
      <c r="U21" s="199"/>
      <c r="V21" s="183"/>
      <c r="W21" s="180"/>
      <c r="X21" s="180"/>
      <c r="Y21" s="134">
        <f t="shared" si="15"/>
        <v>1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64</v>
      </c>
      <c r="G22" s="134">
        <f t="shared" si="14"/>
        <v>64</v>
      </c>
      <c r="H22" s="135">
        <v>0</v>
      </c>
      <c r="I22" s="180">
        <v>8</v>
      </c>
      <c r="J22" s="180">
        <v>8</v>
      </c>
      <c r="K22" s="180">
        <v>8</v>
      </c>
      <c r="L22" s="186"/>
      <c r="M22" s="186"/>
      <c r="N22" s="199"/>
      <c r="O22" s="199"/>
      <c r="P22" s="180">
        <v>8</v>
      </c>
      <c r="Q22" s="180">
        <v>8</v>
      </c>
      <c r="R22" s="180">
        <v>8</v>
      </c>
      <c r="S22" s="180">
        <v>8</v>
      </c>
      <c r="T22" s="180">
        <v>8</v>
      </c>
      <c r="U22" s="199"/>
      <c r="V22" s="180"/>
      <c r="W22" s="180"/>
      <c r="X22" s="180"/>
      <c r="Y22" s="134">
        <f t="shared" si="15"/>
        <v>2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80">
        <v>8</v>
      </c>
      <c r="J23" s="180">
        <v>8</v>
      </c>
      <c r="K23" s="180">
        <v>8</v>
      </c>
      <c r="L23" s="180">
        <v>8</v>
      </c>
      <c r="M23" s="180">
        <v>8</v>
      </c>
      <c r="N23" s="199"/>
      <c r="O23" s="200"/>
      <c r="P23" s="183">
        <v>8</v>
      </c>
      <c r="Q23" s="180">
        <v>8</v>
      </c>
      <c r="R23" s="183">
        <v>8</v>
      </c>
      <c r="S23" s="180">
        <v>8</v>
      </c>
      <c r="T23" s="180">
        <v>8</v>
      </c>
      <c r="U23" s="199"/>
      <c r="V23" s="183"/>
      <c r="W23" s="183"/>
      <c r="X23" s="180"/>
      <c r="Y23" s="134">
        <f t="shared" si="15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80</v>
      </c>
      <c r="G24" s="134">
        <f t="shared" si="14"/>
        <v>80</v>
      </c>
      <c r="H24" s="135">
        <v>0</v>
      </c>
      <c r="I24" s="180">
        <v>8</v>
      </c>
      <c r="J24" s="180">
        <v>8</v>
      </c>
      <c r="K24" s="180">
        <v>8</v>
      </c>
      <c r="L24" s="180">
        <v>8</v>
      </c>
      <c r="M24" s="180">
        <v>8</v>
      </c>
      <c r="N24" s="199"/>
      <c r="O24" s="199"/>
      <c r="P24" s="183">
        <v>8</v>
      </c>
      <c r="Q24" s="180">
        <v>8</v>
      </c>
      <c r="R24" s="180">
        <v>8</v>
      </c>
      <c r="S24" s="180">
        <v>8</v>
      </c>
      <c r="T24" s="180">
        <v>8</v>
      </c>
      <c r="U24" s="199"/>
      <c r="V24" s="180"/>
      <c r="W24" s="180"/>
      <c r="X24" s="180"/>
      <c r="Y24" s="134">
        <f t="shared" si="15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80</v>
      </c>
      <c r="G25" s="134">
        <f t="shared" si="14"/>
        <v>80</v>
      </c>
      <c r="H25" s="135">
        <v>0</v>
      </c>
      <c r="I25" s="183">
        <v>8</v>
      </c>
      <c r="J25" s="183">
        <v>8</v>
      </c>
      <c r="K25" s="183">
        <v>8</v>
      </c>
      <c r="L25" s="183">
        <v>8</v>
      </c>
      <c r="M25" s="183">
        <v>8</v>
      </c>
      <c r="N25" s="200"/>
      <c r="O25" s="200"/>
      <c r="P25" s="183">
        <v>8</v>
      </c>
      <c r="Q25" s="183">
        <v>8</v>
      </c>
      <c r="R25" s="183">
        <v>8</v>
      </c>
      <c r="S25" s="183">
        <v>8</v>
      </c>
      <c r="T25" s="183">
        <v>8</v>
      </c>
      <c r="U25" s="200"/>
      <c r="V25" s="183"/>
      <c r="W25" s="183"/>
      <c r="X25" s="180"/>
      <c r="Y25" s="134">
        <f t="shared" si="15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480</v>
      </c>
      <c r="E30" s="224">
        <f t="shared" si="16"/>
        <v>480</v>
      </c>
      <c r="F30" s="224">
        <f t="shared" si="16"/>
        <v>456</v>
      </c>
      <c r="G30" s="224">
        <f t="shared" si="16"/>
        <v>456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40</v>
      </c>
      <c r="M30" s="224">
        <f t="shared" si="16"/>
        <v>40</v>
      </c>
      <c r="N30" s="224">
        <f t="shared" si="16"/>
        <v>0</v>
      </c>
      <c r="O30" s="224">
        <f t="shared" si="16"/>
        <v>0</v>
      </c>
      <c r="P30" s="224">
        <f t="shared" si="16"/>
        <v>48</v>
      </c>
      <c r="Q30" s="224">
        <f t="shared" si="16"/>
        <v>48</v>
      </c>
      <c r="R30" s="224">
        <f t="shared" si="16"/>
        <v>48</v>
      </c>
      <c r="S30" s="224">
        <f t="shared" si="16"/>
        <v>40</v>
      </c>
      <c r="T30" s="224">
        <f t="shared" si="16"/>
        <v>48</v>
      </c>
      <c r="U30" s="224">
        <f t="shared" si="16"/>
        <v>0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160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128</v>
      </c>
      <c r="C38" s="217">
        <f t="shared" si="17"/>
        <v>160</v>
      </c>
      <c r="D38" s="218">
        <f t="shared" si="18"/>
        <v>128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71">
        <f>B48*8</f>
        <v>80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72D74-3AB0-4199-B2C8-B445A75BD62D}">
  <sheetPr>
    <tabColor rgb="FFC00000"/>
  </sheetPr>
  <dimension ref="A1:AI997"/>
  <sheetViews>
    <sheetView showGridLines="0" workbookViewId="0">
      <pane xSplit="2" topLeftCell="C1" activePane="topRight" state="frozen"/>
      <selection pane="topRight" activeCell="I25" sqref="I25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9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0" width="7.453125" style="115" customWidth="1"/>
    <col min="11" max="11" width="7.36328125" style="115" customWidth="1"/>
    <col min="12" max="12" width="7.81640625" style="115" customWidth="1"/>
    <col min="13" max="13" width="7.6328125" style="115" customWidth="1"/>
    <col min="14" max="15" width="7.1796875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46023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46023</v>
      </c>
      <c r="J3" s="141">
        <f t="shared" ref="J3:W3" si="0">I3+1</f>
        <v>46024</v>
      </c>
      <c r="K3" s="141">
        <f t="shared" si="0"/>
        <v>46025</v>
      </c>
      <c r="L3" s="141">
        <f t="shared" si="0"/>
        <v>46026</v>
      </c>
      <c r="M3" s="141">
        <f t="shared" si="0"/>
        <v>46027</v>
      </c>
      <c r="N3" s="141">
        <f t="shared" si="0"/>
        <v>46028</v>
      </c>
      <c r="O3" s="141">
        <f t="shared" si="0"/>
        <v>46029</v>
      </c>
      <c r="P3" s="141">
        <f t="shared" si="0"/>
        <v>46030</v>
      </c>
      <c r="Q3" s="141">
        <f t="shared" si="0"/>
        <v>46031</v>
      </c>
      <c r="R3" s="141">
        <f t="shared" si="0"/>
        <v>46032</v>
      </c>
      <c r="S3" s="141">
        <f t="shared" si="0"/>
        <v>46033</v>
      </c>
      <c r="T3" s="141">
        <f t="shared" si="0"/>
        <v>46034</v>
      </c>
      <c r="U3" s="141">
        <f t="shared" si="0"/>
        <v>46035</v>
      </c>
      <c r="V3" s="141">
        <f t="shared" si="0"/>
        <v>46036</v>
      </c>
      <c r="W3" s="141">
        <f t="shared" si="0"/>
        <v>46037</v>
      </c>
      <c r="X3" s="260" t="s">
        <v>6</v>
      </c>
      <c r="Y3" s="260" t="s">
        <v>7</v>
      </c>
      <c r="Z3" s="209"/>
      <c r="AA3" s="210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Thu</v>
      </c>
      <c r="J4" s="127" t="str">
        <f t="shared" si="1"/>
        <v>Fri</v>
      </c>
      <c r="K4" s="127" t="str">
        <f t="shared" si="1"/>
        <v>Sat</v>
      </c>
      <c r="L4" s="222" t="str">
        <f t="shared" si="1"/>
        <v>Sun</v>
      </c>
      <c r="M4" s="222" t="str">
        <f t="shared" si="1"/>
        <v>Mon</v>
      </c>
      <c r="N4" s="221" t="str">
        <f t="shared" si="1"/>
        <v>Tue</v>
      </c>
      <c r="O4" s="221" t="str">
        <f t="shared" si="1"/>
        <v>Wed</v>
      </c>
      <c r="P4" s="222" t="str">
        <f t="shared" si="1"/>
        <v>Thu</v>
      </c>
      <c r="Q4" s="222" t="str">
        <f t="shared" si="1"/>
        <v>Fri</v>
      </c>
      <c r="R4" s="222" t="str">
        <f t="shared" si="1"/>
        <v>Sat</v>
      </c>
      <c r="S4" s="222" t="str">
        <f t="shared" si="1"/>
        <v>Sun</v>
      </c>
      <c r="T4" s="222" t="str">
        <f t="shared" si="1"/>
        <v>Mon</v>
      </c>
      <c r="U4" s="222" t="str">
        <f t="shared" si="1"/>
        <v>Tue</v>
      </c>
      <c r="V4" s="222" t="str">
        <f t="shared" si="1"/>
        <v>Wed</v>
      </c>
      <c r="W4" s="222" t="str">
        <f t="shared" si="1"/>
        <v>Thu</v>
      </c>
      <c r="X4" s="261"/>
      <c r="Y4" s="261"/>
      <c r="Z4" s="209"/>
      <c r="AA4" s="240" t="s">
        <v>12</v>
      </c>
      <c r="AB4" s="238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>SUM(I5:W5)</f>
        <v>80</v>
      </c>
      <c r="H5" s="135">
        <v>0</v>
      </c>
      <c r="I5" s="235"/>
      <c r="J5" s="183">
        <v>8</v>
      </c>
      <c r="K5" s="200"/>
      <c r="L5" s="200"/>
      <c r="M5" s="183">
        <v>8</v>
      </c>
      <c r="N5" s="183">
        <v>8</v>
      </c>
      <c r="O5" s="183">
        <v>8</v>
      </c>
      <c r="P5" s="183">
        <v>8</v>
      </c>
      <c r="Q5" s="183">
        <v>8</v>
      </c>
      <c r="R5" s="200"/>
      <c r="S5" s="200"/>
      <c r="T5" s="183">
        <v>8</v>
      </c>
      <c r="U5" s="183">
        <v>8</v>
      </c>
      <c r="V5" s="183">
        <v>8</v>
      </c>
      <c r="W5" s="183">
        <v>8</v>
      </c>
      <c r="X5" s="134">
        <f>Y5-COUNTA(I5:W5)</f>
        <v>0</v>
      </c>
      <c r="Y5" s="136">
        <v>10</v>
      </c>
      <c r="Z5" s="209"/>
      <c r="AA5" s="239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ref="G6:G10" si="5">SUM(I6:W6)</f>
        <v>80</v>
      </c>
      <c r="H6" s="135">
        <v>0</v>
      </c>
      <c r="I6" s="235"/>
      <c r="J6" s="183">
        <v>8</v>
      </c>
      <c r="K6" s="200"/>
      <c r="L6" s="200"/>
      <c r="M6" s="183">
        <v>8</v>
      </c>
      <c r="N6" s="183">
        <v>8</v>
      </c>
      <c r="O6" s="183">
        <v>8</v>
      </c>
      <c r="P6" s="183">
        <v>8</v>
      </c>
      <c r="Q6" s="183">
        <v>8</v>
      </c>
      <c r="R6" s="200"/>
      <c r="S6" s="200"/>
      <c r="T6" s="183">
        <v>8</v>
      </c>
      <c r="U6" s="183">
        <v>8</v>
      </c>
      <c r="V6" s="183">
        <v>8</v>
      </c>
      <c r="W6" s="183">
        <v>8</v>
      </c>
      <c r="X6" s="134">
        <f t="shared" ref="X6:X14" si="6">Y6-COUNTA(I6:W6)</f>
        <v>0</v>
      </c>
      <c r="Y6" s="136">
        <v>10</v>
      </c>
      <c r="Z6" s="209"/>
      <c r="AA6" s="237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235"/>
      <c r="J7" s="183">
        <v>8</v>
      </c>
      <c r="K7" s="200"/>
      <c r="L7" s="200"/>
      <c r="M7" s="183">
        <v>8</v>
      </c>
      <c r="N7" s="183">
        <v>8</v>
      </c>
      <c r="O7" s="183">
        <v>8</v>
      </c>
      <c r="P7" s="183">
        <v>8</v>
      </c>
      <c r="Q7" s="183">
        <v>8</v>
      </c>
      <c r="R7" s="200"/>
      <c r="S7" s="200"/>
      <c r="T7" s="183">
        <v>8</v>
      </c>
      <c r="U7" s="183">
        <v>8</v>
      </c>
      <c r="V7" s="183">
        <v>8</v>
      </c>
      <c r="W7" s="236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235"/>
      <c r="J8" s="183">
        <v>8</v>
      </c>
      <c r="K8" s="200"/>
      <c r="L8" s="200"/>
      <c r="M8" s="183">
        <v>8</v>
      </c>
      <c r="N8" s="183">
        <v>8</v>
      </c>
      <c r="O8" s="183">
        <v>8</v>
      </c>
      <c r="P8" s="183">
        <v>8</v>
      </c>
      <c r="Q8" s="183">
        <v>8</v>
      </c>
      <c r="R8" s="200"/>
      <c r="S8" s="200"/>
      <c r="T8" s="183">
        <v>8</v>
      </c>
      <c r="U8" s="183">
        <v>8</v>
      </c>
      <c r="V8" s="183">
        <v>8</v>
      </c>
      <c r="W8" s="183">
        <v>8</v>
      </c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235"/>
      <c r="J9" s="183">
        <v>8</v>
      </c>
      <c r="K9" s="200"/>
      <c r="L9" s="200"/>
      <c r="M9" s="183">
        <v>8</v>
      </c>
      <c r="N9" s="183">
        <v>8</v>
      </c>
      <c r="O9" s="183">
        <v>8</v>
      </c>
      <c r="P9" s="183">
        <v>8</v>
      </c>
      <c r="Q9" s="183">
        <v>8</v>
      </c>
      <c r="R9" s="200"/>
      <c r="S9" s="200"/>
      <c r="T9" s="183">
        <v>8</v>
      </c>
      <c r="U9" s="183">
        <v>8</v>
      </c>
      <c r="V9" s="183">
        <v>8</v>
      </c>
      <c r="W9" s="236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5"/>
      <c r="J10" s="183">
        <v>8</v>
      </c>
      <c r="K10" s="200"/>
      <c r="L10" s="200"/>
      <c r="M10" s="183">
        <v>8</v>
      </c>
      <c r="N10" s="183">
        <v>8</v>
      </c>
      <c r="O10" s="183">
        <v>8</v>
      </c>
      <c r="P10" s="183">
        <v>8</v>
      </c>
      <c r="Q10" s="183">
        <v>8</v>
      </c>
      <c r="R10" s="200"/>
      <c r="S10" s="200"/>
      <c r="T10" s="183">
        <v>8</v>
      </c>
      <c r="U10" s="183">
        <v>8</v>
      </c>
      <c r="V10" s="236"/>
      <c r="W10" s="183">
        <v>8</v>
      </c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456</v>
      </c>
      <c r="G15" s="224">
        <f t="shared" si="8"/>
        <v>456</v>
      </c>
      <c r="H15" s="224">
        <f t="shared" si="8"/>
        <v>0</v>
      </c>
      <c r="I15" s="224">
        <f t="shared" si="8"/>
        <v>0</v>
      </c>
      <c r="J15" s="224">
        <f t="shared" si="8"/>
        <v>48</v>
      </c>
      <c r="K15" s="224">
        <f t="shared" si="8"/>
        <v>0</v>
      </c>
      <c r="L15" s="224">
        <f t="shared" si="8"/>
        <v>0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0</v>
      </c>
      <c r="S15" s="224">
        <f t="shared" si="8"/>
        <v>0</v>
      </c>
      <c r="T15" s="224">
        <f t="shared" si="8"/>
        <v>48</v>
      </c>
      <c r="U15" s="224">
        <f t="shared" si="8"/>
        <v>48</v>
      </c>
      <c r="V15" s="224">
        <f t="shared" si="8"/>
        <v>40</v>
      </c>
      <c r="W15" s="224">
        <f t="shared" si="8"/>
        <v>32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46038</v>
      </c>
      <c r="J18" s="141">
        <f t="shared" ref="J18:X18" si="9">I18+1</f>
        <v>46039</v>
      </c>
      <c r="K18" s="141">
        <f t="shared" si="9"/>
        <v>46040</v>
      </c>
      <c r="L18" s="141">
        <f t="shared" si="9"/>
        <v>46041</v>
      </c>
      <c r="M18" s="141">
        <f t="shared" si="9"/>
        <v>46042</v>
      </c>
      <c r="N18" s="141">
        <f t="shared" si="9"/>
        <v>46043</v>
      </c>
      <c r="O18" s="141">
        <f t="shared" si="9"/>
        <v>46044</v>
      </c>
      <c r="P18" s="141">
        <f t="shared" si="9"/>
        <v>46045</v>
      </c>
      <c r="Q18" s="141">
        <f t="shared" si="9"/>
        <v>46046</v>
      </c>
      <c r="R18" s="141">
        <f t="shared" si="9"/>
        <v>46047</v>
      </c>
      <c r="S18" s="141">
        <f t="shared" si="9"/>
        <v>46048</v>
      </c>
      <c r="T18" s="141">
        <f t="shared" si="9"/>
        <v>46049</v>
      </c>
      <c r="U18" s="141">
        <f t="shared" si="9"/>
        <v>46050</v>
      </c>
      <c r="V18" s="141">
        <f t="shared" si="9"/>
        <v>46051</v>
      </c>
      <c r="W18" s="141">
        <f t="shared" si="9"/>
        <v>46052</v>
      </c>
      <c r="X18" s="141">
        <f t="shared" si="9"/>
        <v>46053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W19" si="10">IF(I18="","",TEXT(WEEKDAY(I18), "ddd"))</f>
        <v>Fri</v>
      </c>
      <c r="J19" s="222" t="str">
        <f t="shared" si="10"/>
        <v>Sat</v>
      </c>
      <c r="K19" s="222" t="str">
        <f t="shared" si="10"/>
        <v>Sun</v>
      </c>
      <c r="L19" s="222" t="str">
        <f t="shared" si="10"/>
        <v>Mon</v>
      </c>
      <c r="M19" s="222" t="str">
        <f t="shared" si="10"/>
        <v>Tue</v>
      </c>
      <c r="N19" s="222" t="str">
        <f t="shared" si="10"/>
        <v>Wed</v>
      </c>
      <c r="O19" s="222" t="str">
        <f t="shared" si="10"/>
        <v>Thu</v>
      </c>
      <c r="P19" s="127" t="str">
        <f t="shared" si="10"/>
        <v>Fri</v>
      </c>
      <c r="Q19" s="127" t="str">
        <f t="shared" si="10"/>
        <v>Sat</v>
      </c>
      <c r="R19" s="222" t="str">
        <f t="shared" si="10"/>
        <v>Sun</v>
      </c>
      <c r="S19" s="222" t="str">
        <f t="shared" si="10"/>
        <v>Mon</v>
      </c>
      <c r="T19" s="222" t="str">
        <f t="shared" si="10"/>
        <v>Tue</v>
      </c>
      <c r="U19" s="222" t="str">
        <f t="shared" si="10"/>
        <v>Wed</v>
      </c>
      <c r="V19" s="222" t="str">
        <f t="shared" si="10"/>
        <v>Thu</v>
      </c>
      <c r="W19" s="127" t="str">
        <f t="shared" si="10"/>
        <v>Fri</v>
      </c>
      <c r="X19" s="127" t="str">
        <f t="shared" ref="X19" si="11">IF(X18="","",TEXT(WEEKDAY(X18), "ddd"))</f>
        <v>Sat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2">E20</f>
        <v>80</v>
      </c>
      <c r="E20" s="134">
        <f t="shared" ref="E20:E25" si="13">Z20*8</f>
        <v>80</v>
      </c>
      <c r="F20" s="134">
        <f t="shared" ref="F20:F25" si="14">G20+H20</f>
        <v>80</v>
      </c>
      <c r="G20" s="134">
        <f t="shared" ref="G20:G25" si="15">SUM(I20:X20)</f>
        <v>80</v>
      </c>
      <c r="H20" s="135">
        <v>0</v>
      </c>
      <c r="I20" s="180">
        <v>8</v>
      </c>
      <c r="J20" s="200"/>
      <c r="K20" s="199"/>
      <c r="L20" s="180">
        <v>8</v>
      </c>
      <c r="M20" s="180">
        <v>8</v>
      </c>
      <c r="N20" s="180">
        <v>8</v>
      </c>
      <c r="O20" s="180">
        <v>8</v>
      </c>
      <c r="P20" s="180">
        <v>8</v>
      </c>
      <c r="Q20" s="200"/>
      <c r="R20" s="199"/>
      <c r="S20" s="235"/>
      <c r="T20" s="180">
        <v>8</v>
      </c>
      <c r="U20" s="180">
        <v>8</v>
      </c>
      <c r="V20" s="183">
        <v>8</v>
      </c>
      <c r="W20" s="183">
        <v>8</v>
      </c>
      <c r="X20" s="199"/>
      <c r="Y20" s="134">
        <f t="shared" ref="Y20:Y25" si="16">Z20-COUNTA(I20:X20)</f>
        <v>0</v>
      </c>
      <c r="Z20" s="136">
        <v>10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2"/>
        <v>80</v>
      </c>
      <c r="E21" s="134">
        <f t="shared" si="13"/>
        <v>80</v>
      </c>
      <c r="F21" s="134">
        <f t="shared" si="14"/>
        <v>80</v>
      </c>
      <c r="G21" s="134">
        <f t="shared" si="15"/>
        <v>80</v>
      </c>
      <c r="H21" s="135">
        <v>0</v>
      </c>
      <c r="I21" s="180">
        <v>8</v>
      </c>
      <c r="J21" s="199"/>
      <c r="K21" s="199"/>
      <c r="L21" s="180">
        <v>8</v>
      </c>
      <c r="M21" s="180">
        <v>8</v>
      </c>
      <c r="N21" s="180">
        <v>8</v>
      </c>
      <c r="O21" s="183">
        <v>8</v>
      </c>
      <c r="P21" s="180">
        <v>8</v>
      </c>
      <c r="Q21" s="199"/>
      <c r="R21" s="200"/>
      <c r="S21" s="185"/>
      <c r="T21" s="180">
        <v>8</v>
      </c>
      <c r="U21" s="180">
        <v>8</v>
      </c>
      <c r="V21" s="183">
        <v>8</v>
      </c>
      <c r="W21" s="180">
        <v>8</v>
      </c>
      <c r="X21" s="199"/>
      <c r="Y21" s="134">
        <f t="shared" si="16"/>
        <v>0</v>
      </c>
      <c r="Z21" s="136">
        <v>10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2"/>
        <v>80</v>
      </c>
      <c r="E22" s="134">
        <f t="shared" si="13"/>
        <v>80</v>
      </c>
      <c r="F22" s="134">
        <f t="shared" si="14"/>
        <v>72</v>
      </c>
      <c r="G22" s="134">
        <f t="shared" si="15"/>
        <v>72</v>
      </c>
      <c r="H22" s="135">
        <v>0</v>
      </c>
      <c r="I22" s="180">
        <v>8</v>
      </c>
      <c r="J22" s="199"/>
      <c r="K22" s="199"/>
      <c r="L22" s="180">
        <v>8</v>
      </c>
      <c r="M22" s="180">
        <v>8</v>
      </c>
      <c r="N22" s="186"/>
      <c r="O22" s="180">
        <v>8</v>
      </c>
      <c r="P22" s="180">
        <v>8</v>
      </c>
      <c r="Q22" s="199"/>
      <c r="R22" s="199"/>
      <c r="S22" s="185"/>
      <c r="T22" s="180">
        <v>8</v>
      </c>
      <c r="U22" s="180">
        <v>8</v>
      </c>
      <c r="V22" s="180">
        <v>8</v>
      </c>
      <c r="W22" s="180">
        <v>8</v>
      </c>
      <c r="X22" s="199"/>
      <c r="Y22" s="134">
        <f t="shared" si="16"/>
        <v>1</v>
      </c>
      <c r="Z22" s="136">
        <v>10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2"/>
        <v>80</v>
      </c>
      <c r="E23" s="134">
        <f t="shared" si="13"/>
        <v>80</v>
      </c>
      <c r="F23" s="134">
        <f t="shared" si="14"/>
        <v>80</v>
      </c>
      <c r="G23" s="134">
        <f t="shared" si="15"/>
        <v>80</v>
      </c>
      <c r="H23" s="135">
        <v>0</v>
      </c>
      <c r="I23" s="180">
        <v>8</v>
      </c>
      <c r="J23" s="199"/>
      <c r="K23" s="199"/>
      <c r="L23" s="180">
        <v>8</v>
      </c>
      <c r="M23" s="180">
        <v>8</v>
      </c>
      <c r="N23" s="180">
        <v>8</v>
      </c>
      <c r="O23" s="183">
        <v>8</v>
      </c>
      <c r="P23" s="183">
        <v>8</v>
      </c>
      <c r="Q23" s="199"/>
      <c r="R23" s="200"/>
      <c r="S23" s="185"/>
      <c r="T23" s="180">
        <v>8</v>
      </c>
      <c r="U23" s="180">
        <v>8</v>
      </c>
      <c r="V23" s="183">
        <v>8</v>
      </c>
      <c r="W23" s="183">
        <v>8</v>
      </c>
      <c r="X23" s="199"/>
      <c r="Y23" s="134">
        <f t="shared" si="16"/>
        <v>0</v>
      </c>
      <c r="Z23" s="136">
        <v>10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2"/>
        <v>80</v>
      </c>
      <c r="E24" s="134">
        <f t="shared" si="13"/>
        <v>80</v>
      </c>
      <c r="F24" s="134">
        <f t="shared" si="14"/>
        <v>80</v>
      </c>
      <c r="G24" s="134">
        <f t="shared" si="15"/>
        <v>80</v>
      </c>
      <c r="H24" s="135">
        <v>0</v>
      </c>
      <c r="I24" s="180">
        <v>8</v>
      </c>
      <c r="J24" s="199"/>
      <c r="K24" s="199"/>
      <c r="L24" s="180">
        <v>8</v>
      </c>
      <c r="M24" s="180">
        <v>8</v>
      </c>
      <c r="N24" s="180">
        <v>8</v>
      </c>
      <c r="O24" s="180">
        <v>8</v>
      </c>
      <c r="P24" s="183">
        <v>8</v>
      </c>
      <c r="Q24" s="199"/>
      <c r="R24" s="199"/>
      <c r="S24" s="185"/>
      <c r="T24" s="180">
        <v>8</v>
      </c>
      <c r="U24" s="180">
        <v>8</v>
      </c>
      <c r="V24" s="180">
        <v>8</v>
      </c>
      <c r="W24" s="180">
        <v>8</v>
      </c>
      <c r="X24" s="199"/>
      <c r="Y24" s="134">
        <f t="shared" si="16"/>
        <v>0</v>
      </c>
      <c r="Z24" s="136">
        <v>10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2"/>
        <v>80</v>
      </c>
      <c r="E25" s="134">
        <f t="shared" si="13"/>
        <v>80</v>
      </c>
      <c r="F25" s="134">
        <f t="shared" si="14"/>
        <v>80</v>
      </c>
      <c r="G25" s="134">
        <f t="shared" si="15"/>
        <v>80</v>
      </c>
      <c r="H25" s="135">
        <v>0</v>
      </c>
      <c r="I25" s="183">
        <v>8</v>
      </c>
      <c r="J25" s="200"/>
      <c r="K25" s="200"/>
      <c r="L25" s="183">
        <v>8</v>
      </c>
      <c r="M25" s="183">
        <v>8</v>
      </c>
      <c r="N25" s="183">
        <v>8</v>
      </c>
      <c r="O25" s="183">
        <v>8</v>
      </c>
      <c r="P25" s="183">
        <v>8</v>
      </c>
      <c r="Q25" s="200"/>
      <c r="R25" s="200"/>
      <c r="S25" s="235"/>
      <c r="T25" s="183">
        <v>8</v>
      </c>
      <c r="U25" s="183">
        <v>8</v>
      </c>
      <c r="V25" s="183">
        <v>8</v>
      </c>
      <c r="W25" s="183">
        <v>8</v>
      </c>
      <c r="X25" s="199"/>
      <c r="Y25" s="134">
        <f t="shared" si="16"/>
        <v>0</v>
      </c>
      <c r="Z25" s="136">
        <v>10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7">SUM(D20:D29)</f>
        <v>480</v>
      </c>
      <c r="E30" s="224">
        <f t="shared" si="17"/>
        <v>480</v>
      </c>
      <c r="F30" s="224">
        <f t="shared" si="17"/>
        <v>472</v>
      </c>
      <c r="G30" s="224">
        <f t="shared" si="17"/>
        <v>472</v>
      </c>
      <c r="H30" s="224">
        <f t="shared" si="17"/>
        <v>0</v>
      </c>
      <c r="I30" s="224">
        <f t="shared" si="17"/>
        <v>48</v>
      </c>
      <c r="J30" s="224">
        <f t="shared" si="17"/>
        <v>0</v>
      </c>
      <c r="K30" s="224">
        <f t="shared" si="17"/>
        <v>0</v>
      </c>
      <c r="L30" s="224">
        <f t="shared" si="17"/>
        <v>48</v>
      </c>
      <c r="M30" s="224">
        <f t="shared" si="17"/>
        <v>48</v>
      </c>
      <c r="N30" s="224">
        <f t="shared" si="17"/>
        <v>40</v>
      </c>
      <c r="O30" s="224">
        <f t="shared" si="17"/>
        <v>48</v>
      </c>
      <c r="P30" s="224">
        <f t="shared" si="17"/>
        <v>48</v>
      </c>
      <c r="Q30" s="224">
        <f t="shared" si="17"/>
        <v>0</v>
      </c>
      <c r="R30" s="224">
        <f t="shared" si="17"/>
        <v>0</v>
      </c>
      <c r="S30" s="224">
        <f t="shared" si="17"/>
        <v>0</v>
      </c>
      <c r="T30" s="224">
        <f t="shared" si="17"/>
        <v>48</v>
      </c>
      <c r="U30" s="224">
        <f t="shared" si="17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8">E5+E20</f>
        <v>160</v>
      </c>
      <c r="D34" s="155">
        <f t="shared" ref="D34:D39" si="19">B34</f>
        <v>160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160</v>
      </c>
      <c r="C35" s="154">
        <f t="shared" si="18"/>
        <v>160</v>
      </c>
      <c r="D35" s="155">
        <f t="shared" si="19"/>
        <v>160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8"/>
        <v>160</v>
      </c>
      <c r="D36" s="155">
        <f t="shared" si="19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8"/>
        <v>160</v>
      </c>
      <c r="D37" s="155">
        <f t="shared" si="19"/>
        <v>160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152</v>
      </c>
      <c r="C38" s="217">
        <f t="shared" si="18"/>
        <v>160</v>
      </c>
      <c r="D38" s="218">
        <f t="shared" si="19"/>
        <v>152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152</v>
      </c>
      <c r="C39" s="159">
        <f t="shared" si="18"/>
        <v>160</v>
      </c>
      <c r="D39" s="160">
        <f t="shared" si="19"/>
        <v>152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20">B40</f>
        <v>0</v>
      </c>
      <c r="D40" s="214">
        <f t="shared" si="20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20"/>
        <v>0</v>
      </c>
      <c r="D41" s="155">
        <f t="shared" si="20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20"/>
        <v>0</v>
      </c>
      <c r="D42" s="155">
        <f t="shared" si="20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20"/>
        <v>0</v>
      </c>
      <c r="D43" s="160">
        <f t="shared" si="20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1">B48-B49</f>
        <v>10</v>
      </c>
      <c r="C50" s="173">
        <f t="shared" si="21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2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2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3">B55-B56</f>
        <v>10</v>
      </c>
      <c r="C57" s="173">
        <f t="shared" si="23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B218-1A06-40AD-9A33-F81AE8D4F364}">
  <sheetPr>
    <tabColor theme="5" tint="-0.249977111117893"/>
  </sheetPr>
  <dimension ref="A1:AI997"/>
  <sheetViews>
    <sheetView showGridLines="0" workbookViewId="0">
      <pane xSplit="2" topLeftCell="C1" activePane="topRight" state="frozen"/>
      <selection pane="topRight" activeCell="W20" sqref="W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45870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45870</v>
      </c>
      <c r="J3" s="141">
        <f t="shared" ref="J3:W3" si="0">I3+1</f>
        <v>45871</v>
      </c>
      <c r="K3" s="141">
        <f t="shared" si="0"/>
        <v>45872</v>
      </c>
      <c r="L3" s="141">
        <f t="shared" si="0"/>
        <v>45873</v>
      </c>
      <c r="M3" s="141">
        <f t="shared" si="0"/>
        <v>45874</v>
      </c>
      <c r="N3" s="141">
        <f t="shared" si="0"/>
        <v>45875</v>
      </c>
      <c r="O3" s="141">
        <f t="shared" si="0"/>
        <v>45876</v>
      </c>
      <c r="P3" s="141">
        <f t="shared" si="0"/>
        <v>45877</v>
      </c>
      <c r="Q3" s="141">
        <f t="shared" si="0"/>
        <v>45878</v>
      </c>
      <c r="R3" s="141">
        <f t="shared" si="0"/>
        <v>45879</v>
      </c>
      <c r="S3" s="141">
        <f t="shared" si="0"/>
        <v>45880</v>
      </c>
      <c r="T3" s="141">
        <f t="shared" si="0"/>
        <v>45881</v>
      </c>
      <c r="U3" s="141">
        <f t="shared" si="0"/>
        <v>45882</v>
      </c>
      <c r="V3" s="141">
        <f t="shared" si="0"/>
        <v>45883</v>
      </c>
      <c r="W3" s="141">
        <f t="shared" si="0"/>
        <v>45884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Fri</v>
      </c>
      <c r="J4" s="127" t="str">
        <f t="shared" si="1"/>
        <v>Sat</v>
      </c>
      <c r="K4" s="127" t="str">
        <f t="shared" si="1"/>
        <v>Sun</v>
      </c>
      <c r="L4" s="222" t="str">
        <f t="shared" si="1"/>
        <v>Mon</v>
      </c>
      <c r="M4" s="222" t="str">
        <f t="shared" si="1"/>
        <v>Tue</v>
      </c>
      <c r="N4" s="221" t="str">
        <f t="shared" si="1"/>
        <v>Wed</v>
      </c>
      <c r="O4" s="221" t="str">
        <f t="shared" si="1"/>
        <v>Thu</v>
      </c>
      <c r="P4" s="222" t="str">
        <f t="shared" si="1"/>
        <v>Fri</v>
      </c>
      <c r="Q4" s="222" t="str">
        <f t="shared" si="1"/>
        <v>Sat</v>
      </c>
      <c r="R4" s="222" t="str">
        <f t="shared" si="1"/>
        <v>Sun</v>
      </c>
      <c r="S4" s="222" t="str">
        <f t="shared" si="1"/>
        <v>Mon</v>
      </c>
      <c r="T4" s="222" t="str">
        <f t="shared" si="1"/>
        <v>Tue</v>
      </c>
      <c r="U4" s="222" t="str">
        <f t="shared" si="1"/>
        <v>Wed</v>
      </c>
      <c r="V4" s="222" t="str">
        <f t="shared" si="1"/>
        <v>Thu</v>
      </c>
      <c r="W4" s="222" t="str">
        <f t="shared" si="1"/>
        <v>Fri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83">
        <v>8</v>
      </c>
      <c r="J5" s="200"/>
      <c r="K5" s="200"/>
      <c r="L5" s="183">
        <v>8</v>
      </c>
      <c r="M5" s="183">
        <v>8</v>
      </c>
      <c r="N5" s="183">
        <v>8</v>
      </c>
      <c r="O5" s="183">
        <v>8</v>
      </c>
      <c r="P5" s="183">
        <v>8</v>
      </c>
      <c r="Q5" s="200"/>
      <c r="R5" s="200"/>
      <c r="S5" s="183">
        <v>8</v>
      </c>
      <c r="T5" s="183">
        <v>8</v>
      </c>
      <c r="U5" s="183">
        <v>8</v>
      </c>
      <c r="V5" s="183">
        <v>8</v>
      </c>
      <c r="W5" s="235"/>
      <c r="X5" s="134">
        <f>Y5-COUNTA(I5:W5)</f>
        <v>0</v>
      </c>
      <c r="Y5" s="136">
        <v>10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72</v>
      </c>
      <c r="G6" s="134">
        <f t="shared" si="5"/>
        <v>72</v>
      </c>
      <c r="H6" s="135">
        <v>0</v>
      </c>
      <c r="I6" s="183">
        <v>8</v>
      </c>
      <c r="J6" s="200"/>
      <c r="K6" s="200"/>
      <c r="L6" s="183">
        <v>8</v>
      </c>
      <c r="M6" s="183">
        <v>8</v>
      </c>
      <c r="N6" s="183">
        <v>8</v>
      </c>
      <c r="O6" s="183">
        <v>8</v>
      </c>
      <c r="P6" s="236"/>
      <c r="Q6" s="200"/>
      <c r="R6" s="200"/>
      <c r="S6" s="183">
        <v>8</v>
      </c>
      <c r="T6" s="183">
        <v>8</v>
      </c>
      <c r="U6" s="183">
        <v>8</v>
      </c>
      <c r="V6" s="183">
        <v>8</v>
      </c>
      <c r="W6" s="235"/>
      <c r="X6" s="134">
        <f t="shared" ref="X6:X14" si="6">Y6-COUNTA(I6:W6)</f>
        <v>1</v>
      </c>
      <c r="Y6" s="136">
        <v>10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83">
        <v>8</v>
      </c>
      <c r="J7" s="200"/>
      <c r="K7" s="200"/>
      <c r="L7" s="183">
        <v>8</v>
      </c>
      <c r="M7" s="183">
        <v>8</v>
      </c>
      <c r="N7" s="183">
        <v>8</v>
      </c>
      <c r="O7" s="183">
        <v>8</v>
      </c>
      <c r="P7" s="183">
        <v>8</v>
      </c>
      <c r="Q7" s="200"/>
      <c r="R7" s="200"/>
      <c r="S7" s="183">
        <v>8</v>
      </c>
      <c r="T7" s="183">
        <v>8</v>
      </c>
      <c r="U7" s="236"/>
      <c r="V7" s="183">
        <v>8</v>
      </c>
      <c r="W7" s="235"/>
      <c r="X7" s="134">
        <f t="shared" si="6"/>
        <v>1</v>
      </c>
      <c r="Y7" s="136">
        <v>10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83">
        <v>8</v>
      </c>
      <c r="J8" s="200"/>
      <c r="K8" s="200"/>
      <c r="L8" s="183">
        <v>8</v>
      </c>
      <c r="M8" s="183">
        <v>8</v>
      </c>
      <c r="N8" s="183">
        <v>8</v>
      </c>
      <c r="O8" s="183">
        <v>8</v>
      </c>
      <c r="P8" s="183">
        <v>8</v>
      </c>
      <c r="Q8" s="200"/>
      <c r="R8" s="200"/>
      <c r="S8" s="183">
        <v>8</v>
      </c>
      <c r="T8" s="183">
        <v>8</v>
      </c>
      <c r="U8" s="183">
        <v>8</v>
      </c>
      <c r="V8" s="183">
        <v>8</v>
      </c>
      <c r="W8" s="235"/>
      <c r="X8" s="134">
        <f t="shared" si="6"/>
        <v>0</v>
      </c>
      <c r="Y8" s="136">
        <v>10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72</v>
      </c>
      <c r="G9" s="134">
        <f t="shared" si="5"/>
        <v>72</v>
      </c>
      <c r="H9" s="135">
        <v>0</v>
      </c>
      <c r="I9" s="183">
        <v>8</v>
      </c>
      <c r="J9" s="200"/>
      <c r="K9" s="200"/>
      <c r="L9" s="183">
        <v>8</v>
      </c>
      <c r="M9" s="183">
        <v>8</v>
      </c>
      <c r="N9" s="183">
        <v>8</v>
      </c>
      <c r="O9" s="183">
        <v>8</v>
      </c>
      <c r="P9" s="236"/>
      <c r="Q9" s="200"/>
      <c r="R9" s="200"/>
      <c r="S9" s="183">
        <v>8</v>
      </c>
      <c r="T9" s="183">
        <v>8</v>
      </c>
      <c r="U9" s="183">
        <v>8</v>
      </c>
      <c r="V9" s="183">
        <v>8</v>
      </c>
      <c r="W9" s="235"/>
      <c r="X9" s="134">
        <f t="shared" si="6"/>
        <v>1</v>
      </c>
      <c r="Y9" s="136">
        <v>10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72</v>
      </c>
      <c r="G10" s="134">
        <f t="shared" si="5"/>
        <v>72</v>
      </c>
      <c r="H10" s="135">
        <v>0</v>
      </c>
      <c r="I10" s="236"/>
      <c r="J10" s="200"/>
      <c r="K10" s="200"/>
      <c r="L10" s="183">
        <v>8</v>
      </c>
      <c r="M10" s="183">
        <v>8</v>
      </c>
      <c r="N10" s="183">
        <v>8</v>
      </c>
      <c r="O10" s="183">
        <v>8</v>
      </c>
      <c r="P10" s="183">
        <v>8</v>
      </c>
      <c r="Q10" s="200"/>
      <c r="R10" s="200"/>
      <c r="S10" s="183">
        <v>8</v>
      </c>
      <c r="T10" s="183">
        <v>8</v>
      </c>
      <c r="U10" s="183">
        <v>8</v>
      </c>
      <c r="V10" s="183">
        <v>8</v>
      </c>
      <c r="W10" s="235"/>
      <c r="X10" s="134">
        <f t="shared" si="6"/>
        <v>1</v>
      </c>
      <c r="Y10" s="136">
        <v>10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480</v>
      </c>
      <c r="E15" s="224">
        <f t="shared" si="8"/>
        <v>480</v>
      </c>
      <c r="F15" s="224">
        <f t="shared" si="8"/>
        <v>448</v>
      </c>
      <c r="G15" s="224">
        <f t="shared" si="8"/>
        <v>448</v>
      </c>
      <c r="H15" s="224">
        <f t="shared" si="8"/>
        <v>0</v>
      </c>
      <c r="I15" s="224">
        <f t="shared" si="8"/>
        <v>40</v>
      </c>
      <c r="J15" s="224">
        <f t="shared" si="8"/>
        <v>0</v>
      </c>
      <c r="K15" s="224">
        <f t="shared" si="8"/>
        <v>0</v>
      </c>
      <c r="L15" s="224">
        <f t="shared" si="8"/>
        <v>48</v>
      </c>
      <c r="M15" s="224">
        <f t="shared" si="8"/>
        <v>48</v>
      </c>
      <c r="N15" s="224">
        <f t="shared" si="8"/>
        <v>48</v>
      </c>
      <c r="O15" s="224">
        <f t="shared" si="8"/>
        <v>48</v>
      </c>
      <c r="P15" s="224">
        <f t="shared" si="8"/>
        <v>32</v>
      </c>
      <c r="Q15" s="224">
        <f t="shared" si="8"/>
        <v>0</v>
      </c>
      <c r="R15" s="224">
        <f t="shared" si="8"/>
        <v>0</v>
      </c>
      <c r="S15" s="224">
        <f t="shared" si="8"/>
        <v>48</v>
      </c>
      <c r="T15" s="224">
        <f t="shared" si="8"/>
        <v>48</v>
      </c>
      <c r="U15" s="224">
        <f t="shared" si="8"/>
        <v>40</v>
      </c>
      <c r="V15" s="224">
        <f t="shared" si="8"/>
        <v>48</v>
      </c>
      <c r="W15" s="224">
        <f t="shared" si="8"/>
        <v>0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45885</v>
      </c>
      <c r="J18" s="141">
        <f t="shared" ref="J18:X18" si="9">I18+1</f>
        <v>45886</v>
      </c>
      <c r="K18" s="141">
        <f t="shared" si="9"/>
        <v>45887</v>
      </c>
      <c r="L18" s="141">
        <f t="shared" si="9"/>
        <v>45888</v>
      </c>
      <c r="M18" s="141">
        <f t="shared" si="9"/>
        <v>45889</v>
      </c>
      <c r="N18" s="141">
        <f t="shared" si="9"/>
        <v>45890</v>
      </c>
      <c r="O18" s="141">
        <f t="shared" si="9"/>
        <v>45891</v>
      </c>
      <c r="P18" s="141">
        <f t="shared" si="9"/>
        <v>45892</v>
      </c>
      <c r="Q18" s="141">
        <f t="shared" si="9"/>
        <v>45893</v>
      </c>
      <c r="R18" s="141">
        <f t="shared" si="9"/>
        <v>45894</v>
      </c>
      <c r="S18" s="141">
        <f t="shared" si="9"/>
        <v>45895</v>
      </c>
      <c r="T18" s="141">
        <f t="shared" si="9"/>
        <v>45896</v>
      </c>
      <c r="U18" s="141">
        <f t="shared" si="9"/>
        <v>45897</v>
      </c>
      <c r="V18" s="141">
        <f t="shared" si="9"/>
        <v>45898</v>
      </c>
      <c r="W18" s="141">
        <f t="shared" si="9"/>
        <v>45899</v>
      </c>
      <c r="X18" s="141">
        <f t="shared" si="9"/>
        <v>45900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Sat</v>
      </c>
      <c r="J19" s="222" t="str">
        <f t="shared" si="10"/>
        <v>Sun</v>
      </c>
      <c r="K19" s="222" t="str">
        <f t="shared" si="10"/>
        <v>Mon</v>
      </c>
      <c r="L19" s="222" t="str">
        <f t="shared" si="10"/>
        <v>Tue</v>
      </c>
      <c r="M19" s="222" t="str">
        <f t="shared" si="10"/>
        <v>Wed</v>
      </c>
      <c r="N19" s="222" t="str">
        <f t="shared" si="10"/>
        <v>Thu</v>
      </c>
      <c r="O19" s="222" t="str">
        <f t="shared" si="10"/>
        <v>Fri</v>
      </c>
      <c r="P19" s="127" t="str">
        <f t="shared" si="10"/>
        <v>Sat</v>
      </c>
      <c r="Q19" s="127" t="str">
        <f t="shared" si="10"/>
        <v>Sun</v>
      </c>
      <c r="R19" s="222" t="str">
        <f t="shared" si="10"/>
        <v>Mon</v>
      </c>
      <c r="S19" s="222" t="str">
        <f t="shared" si="10"/>
        <v>Tue</v>
      </c>
      <c r="T19" s="222" t="str">
        <f t="shared" si="10"/>
        <v>Wed</v>
      </c>
      <c r="U19" s="222" t="str">
        <f t="shared" si="10"/>
        <v>Thu</v>
      </c>
      <c r="V19" s="222" t="str">
        <f t="shared" si="10"/>
        <v>Fri</v>
      </c>
      <c r="W19" s="127" t="str">
        <f t="shared" si="10"/>
        <v>Sat</v>
      </c>
      <c r="X19" s="127" t="str">
        <f t="shared" si="10"/>
        <v>Sun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72</v>
      </c>
      <c r="E20" s="134">
        <f t="shared" ref="E20:E25" si="12">Z20*8</f>
        <v>72</v>
      </c>
      <c r="F20" s="134">
        <f t="shared" ref="F20:F25" si="13">G20+H20</f>
        <v>72</v>
      </c>
      <c r="G20" s="134">
        <f t="shared" ref="G20:G25" si="14">SUM(I20:X20)</f>
        <v>72</v>
      </c>
      <c r="H20" s="135">
        <v>0</v>
      </c>
      <c r="I20" s="199"/>
      <c r="J20" s="199"/>
      <c r="K20" s="180">
        <v>8</v>
      </c>
      <c r="L20" s="180">
        <v>8</v>
      </c>
      <c r="M20" s="180">
        <v>8</v>
      </c>
      <c r="N20" s="180">
        <v>8</v>
      </c>
      <c r="O20" s="180">
        <v>8</v>
      </c>
      <c r="P20" s="199"/>
      <c r="Q20" s="199"/>
      <c r="R20" s="180">
        <v>8</v>
      </c>
      <c r="S20" s="180">
        <v>8</v>
      </c>
      <c r="T20" s="185"/>
      <c r="U20" s="180">
        <v>8</v>
      </c>
      <c r="V20" s="180">
        <v>8</v>
      </c>
      <c r="W20" s="199"/>
      <c r="X20" s="199"/>
      <c r="Y20" s="134">
        <f t="shared" ref="Y20:Y25" si="15">Z20-COUNTA(I20:X20)</f>
        <v>0</v>
      </c>
      <c r="Z20" s="136">
        <v>9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72</v>
      </c>
      <c r="E21" s="134">
        <f t="shared" si="12"/>
        <v>72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99"/>
      <c r="K21" s="186"/>
      <c r="L21" s="180">
        <v>8</v>
      </c>
      <c r="M21" s="180">
        <v>8</v>
      </c>
      <c r="N21" s="180">
        <v>8</v>
      </c>
      <c r="O21" s="183">
        <v>8</v>
      </c>
      <c r="P21" s="199"/>
      <c r="Q21" s="199"/>
      <c r="R21" s="183">
        <v>8</v>
      </c>
      <c r="S21" s="180">
        <v>8</v>
      </c>
      <c r="T21" s="185"/>
      <c r="U21" s="180">
        <v>8</v>
      </c>
      <c r="V21" s="183">
        <v>8</v>
      </c>
      <c r="W21" s="199"/>
      <c r="X21" s="199"/>
      <c r="Y21" s="134">
        <f t="shared" si="15"/>
        <v>1</v>
      </c>
      <c r="Z21" s="136">
        <v>9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72</v>
      </c>
      <c r="E22" s="134">
        <f t="shared" si="12"/>
        <v>72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99"/>
      <c r="K22" s="180">
        <v>8</v>
      </c>
      <c r="L22" s="180">
        <v>8</v>
      </c>
      <c r="M22" s="180">
        <v>8</v>
      </c>
      <c r="N22" s="180">
        <v>8</v>
      </c>
      <c r="O22" s="180">
        <v>8</v>
      </c>
      <c r="P22" s="199"/>
      <c r="Q22" s="199"/>
      <c r="R22" s="180">
        <v>8</v>
      </c>
      <c r="S22" s="180">
        <v>8</v>
      </c>
      <c r="T22" s="185"/>
      <c r="U22" s="180">
        <v>8</v>
      </c>
      <c r="V22" s="180">
        <v>8</v>
      </c>
      <c r="W22" s="199"/>
      <c r="X22" s="199"/>
      <c r="Y22" s="134">
        <f t="shared" si="15"/>
        <v>0</v>
      </c>
      <c r="Z22" s="136">
        <v>9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72</v>
      </c>
      <c r="E23" s="134">
        <f t="shared" si="12"/>
        <v>72</v>
      </c>
      <c r="F23" s="134">
        <f t="shared" si="13"/>
        <v>72</v>
      </c>
      <c r="G23" s="134">
        <f t="shared" si="14"/>
        <v>72</v>
      </c>
      <c r="H23" s="135">
        <v>0</v>
      </c>
      <c r="I23" s="199"/>
      <c r="J23" s="199"/>
      <c r="K23" s="180">
        <v>8</v>
      </c>
      <c r="L23" s="180">
        <v>8</v>
      </c>
      <c r="M23" s="180">
        <v>8</v>
      </c>
      <c r="N23" s="180">
        <v>8</v>
      </c>
      <c r="O23" s="183">
        <v>8</v>
      </c>
      <c r="P23" s="199"/>
      <c r="Q23" s="199"/>
      <c r="R23" s="183">
        <v>8</v>
      </c>
      <c r="S23" s="180">
        <v>8</v>
      </c>
      <c r="T23" s="185"/>
      <c r="U23" s="180">
        <v>8</v>
      </c>
      <c r="V23" s="183">
        <v>8</v>
      </c>
      <c r="W23" s="199"/>
      <c r="X23" s="199"/>
      <c r="Y23" s="134"/>
      <c r="Z23" s="136">
        <v>9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72</v>
      </c>
      <c r="E24" s="134">
        <f t="shared" si="12"/>
        <v>72</v>
      </c>
      <c r="F24" s="134">
        <f t="shared" si="13"/>
        <v>72</v>
      </c>
      <c r="G24" s="134">
        <f t="shared" si="14"/>
        <v>72</v>
      </c>
      <c r="H24" s="135">
        <v>0</v>
      </c>
      <c r="I24" s="199"/>
      <c r="J24" s="199"/>
      <c r="K24" s="180">
        <v>8</v>
      </c>
      <c r="L24" s="180">
        <v>8</v>
      </c>
      <c r="M24" s="180">
        <v>8</v>
      </c>
      <c r="N24" s="180">
        <v>8</v>
      </c>
      <c r="O24" s="180">
        <v>8</v>
      </c>
      <c r="P24" s="199"/>
      <c r="Q24" s="199"/>
      <c r="R24" s="180">
        <v>8</v>
      </c>
      <c r="S24" s="180">
        <v>8</v>
      </c>
      <c r="T24" s="185"/>
      <c r="U24" s="180">
        <v>8</v>
      </c>
      <c r="V24" s="180">
        <v>8</v>
      </c>
      <c r="W24" s="199"/>
      <c r="X24" s="199"/>
      <c r="Y24" s="134">
        <f t="shared" si="15"/>
        <v>0</v>
      </c>
      <c r="Z24" s="136">
        <v>9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72</v>
      </c>
      <c r="E25" s="134">
        <f t="shared" si="12"/>
        <v>72</v>
      </c>
      <c r="F25" s="134">
        <f t="shared" si="13"/>
        <v>72</v>
      </c>
      <c r="G25" s="134">
        <f t="shared" si="14"/>
        <v>72</v>
      </c>
      <c r="H25" s="135">
        <v>0</v>
      </c>
      <c r="I25" s="199"/>
      <c r="J25" s="199"/>
      <c r="K25" s="183">
        <v>8</v>
      </c>
      <c r="L25" s="183">
        <v>8</v>
      </c>
      <c r="M25" s="183">
        <v>8</v>
      </c>
      <c r="N25" s="183">
        <v>8</v>
      </c>
      <c r="O25" s="183">
        <v>8</v>
      </c>
      <c r="P25" s="199"/>
      <c r="Q25" s="199"/>
      <c r="R25" s="183">
        <v>8</v>
      </c>
      <c r="S25" s="183">
        <v>8</v>
      </c>
      <c r="T25" s="235"/>
      <c r="U25" s="183">
        <v>8</v>
      </c>
      <c r="V25" s="183">
        <v>8</v>
      </c>
      <c r="W25" s="199"/>
      <c r="X25" s="199"/>
      <c r="Y25" s="134">
        <f t="shared" si="15"/>
        <v>0</v>
      </c>
      <c r="Z25" s="136">
        <v>9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432</v>
      </c>
      <c r="E30" s="224">
        <f t="shared" si="16"/>
        <v>432</v>
      </c>
      <c r="F30" s="224">
        <f t="shared" si="16"/>
        <v>424</v>
      </c>
      <c r="G30" s="224">
        <f t="shared" si="16"/>
        <v>424</v>
      </c>
      <c r="H30" s="224">
        <f t="shared" si="16"/>
        <v>0</v>
      </c>
      <c r="I30" s="224">
        <f t="shared" si="16"/>
        <v>0</v>
      </c>
      <c r="J30" s="224">
        <f t="shared" si="16"/>
        <v>0</v>
      </c>
      <c r="K30" s="224">
        <f t="shared" si="16"/>
        <v>40</v>
      </c>
      <c r="L30" s="224">
        <f t="shared" si="16"/>
        <v>48</v>
      </c>
      <c r="M30" s="224">
        <f t="shared" si="16"/>
        <v>48</v>
      </c>
      <c r="N30" s="224">
        <f t="shared" si="16"/>
        <v>48</v>
      </c>
      <c r="O30" s="224">
        <f t="shared" si="16"/>
        <v>48</v>
      </c>
      <c r="P30" s="224">
        <f t="shared" si="16"/>
        <v>0</v>
      </c>
      <c r="Q30" s="224">
        <f t="shared" si="16"/>
        <v>0</v>
      </c>
      <c r="R30" s="224">
        <f t="shared" si="16"/>
        <v>48</v>
      </c>
      <c r="S30" s="224">
        <f t="shared" si="16"/>
        <v>48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152</v>
      </c>
      <c r="C34" s="154">
        <f t="shared" ref="C34:C39" si="17">E5+E20</f>
        <v>152</v>
      </c>
      <c r="D34" s="155">
        <f t="shared" ref="D34:D39" si="18">B34</f>
        <v>152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136</v>
      </c>
      <c r="C35" s="154">
        <f t="shared" si="17"/>
        <v>152</v>
      </c>
      <c r="D35" s="155">
        <f t="shared" si="18"/>
        <v>136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152</v>
      </c>
      <c r="D36" s="155">
        <f t="shared" si="18"/>
        <v>144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152</v>
      </c>
      <c r="C37" s="154">
        <f t="shared" si="17"/>
        <v>152</v>
      </c>
      <c r="D37" s="155">
        <f t="shared" si="18"/>
        <v>152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144</v>
      </c>
      <c r="C38" s="217">
        <f t="shared" si="17"/>
        <v>152</v>
      </c>
      <c r="D38" s="218">
        <f t="shared" si="18"/>
        <v>144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144</v>
      </c>
      <c r="C39" s="159">
        <f t="shared" si="17"/>
        <v>152</v>
      </c>
      <c r="D39" s="160">
        <f t="shared" si="18"/>
        <v>144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1</v>
      </c>
      <c r="C49" s="171">
        <f>B49*8</f>
        <v>8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10</v>
      </c>
      <c r="C55" s="171">
        <f t="shared" ref="C55:C56" si="21">B55*8</f>
        <v>80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9</v>
      </c>
      <c r="C57" s="173">
        <f t="shared" si="22"/>
        <v>72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152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908D-F28C-4ACF-B15B-1D96BB3164DA}">
  <sheetPr>
    <tabColor theme="4" tint="-0.249977111117893"/>
  </sheetPr>
  <dimension ref="A1:AI997"/>
  <sheetViews>
    <sheetView showGridLines="0" workbookViewId="0">
      <pane xSplit="2" topLeftCell="C1" activePane="topRight" state="frozen"/>
      <selection pane="topRight" activeCell="L20" sqref="L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7" style="115" customWidth="1"/>
    <col min="13" max="13" width="7.6328125" style="115" customWidth="1"/>
    <col min="14" max="14" width="7.1796875" style="115" customWidth="1"/>
    <col min="15" max="15" width="7" style="115" customWidth="1"/>
    <col min="16" max="16" width="7.36328125" style="115" customWidth="1"/>
    <col min="17" max="18" width="6.453125" style="115" customWidth="1"/>
    <col min="19" max="19" width="7.36328125" style="115" customWidth="1"/>
    <col min="20" max="20" width="7.453125" style="115" customWidth="1"/>
    <col min="21" max="21" width="6.6328125" style="115" customWidth="1"/>
    <col min="22" max="22" width="7.1796875" style="115" customWidth="1"/>
    <col min="23" max="23" width="7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45839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225" t="s">
        <v>0</v>
      </c>
      <c r="B2" s="226"/>
      <c r="C2" s="226"/>
      <c r="D2" s="227"/>
      <c r="E2" s="227"/>
      <c r="F2" s="227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118"/>
      <c r="AA2" s="119"/>
      <c r="AB2" s="120"/>
      <c r="AC2" s="114"/>
    </row>
    <row r="3" spans="1:35" ht="35.25" customHeight="1">
      <c r="A3" s="260" t="s">
        <v>1</v>
      </c>
      <c r="B3" s="260" t="s">
        <v>2</v>
      </c>
      <c r="C3" s="260" t="s">
        <v>3</v>
      </c>
      <c r="D3" s="260" t="s">
        <v>4</v>
      </c>
      <c r="E3" s="262" t="s">
        <v>5</v>
      </c>
      <c r="F3" s="261"/>
      <c r="G3" s="261"/>
      <c r="H3" s="261"/>
      <c r="I3" s="141">
        <f>C1</f>
        <v>45839</v>
      </c>
      <c r="J3" s="141">
        <f t="shared" ref="J3:W3" si="0">I3+1</f>
        <v>45840</v>
      </c>
      <c r="K3" s="141">
        <f t="shared" si="0"/>
        <v>45841</v>
      </c>
      <c r="L3" s="141">
        <f t="shared" si="0"/>
        <v>45842</v>
      </c>
      <c r="M3" s="141">
        <f t="shared" si="0"/>
        <v>45843</v>
      </c>
      <c r="N3" s="141">
        <f t="shared" si="0"/>
        <v>45844</v>
      </c>
      <c r="O3" s="141">
        <f t="shared" si="0"/>
        <v>45845</v>
      </c>
      <c r="P3" s="141">
        <f t="shared" si="0"/>
        <v>45846</v>
      </c>
      <c r="Q3" s="141">
        <f t="shared" si="0"/>
        <v>45847</v>
      </c>
      <c r="R3" s="141">
        <f t="shared" si="0"/>
        <v>45848</v>
      </c>
      <c r="S3" s="141">
        <f t="shared" si="0"/>
        <v>45849</v>
      </c>
      <c r="T3" s="141">
        <f t="shared" si="0"/>
        <v>45850</v>
      </c>
      <c r="U3" s="141">
        <f t="shared" si="0"/>
        <v>45851</v>
      </c>
      <c r="V3" s="141">
        <f t="shared" si="0"/>
        <v>45852</v>
      </c>
      <c r="W3" s="141">
        <f t="shared" si="0"/>
        <v>45853</v>
      </c>
      <c r="X3" s="260" t="s">
        <v>6</v>
      </c>
      <c r="Y3" s="260" t="s">
        <v>7</v>
      </c>
      <c r="Z3" s="209"/>
      <c r="AA3" s="114"/>
      <c r="AB3" s="114"/>
    </row>
    <row r="4" spans="1:35" ht="27" customHeight="1">
      <c r="A4" s="261"/>
      <c r="B4" s="261"/>
      <c r="C4" s="261"/>
      <c r="D4" s="261"/>
      <c r="E4" s="219" t="s">
        <v>8</v>
      </c>
      <c r="F4" s="220" t="s">
        <v>9</v>
      </c>
      <c r="G4" s="165" t="s">
        <v>10</v>
      </c>
      <c r="H4" s="165" t="s">
        <v>11</v>
      </c>
      <c r="I4" s="221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222" t="str">
        <f t="shared" si="1"/>
        <v>Fri</v>
      </c>
      <c r="M4" s="222" t="str">
        <f t="shared" si="1"/>
        <v>Sat</v>
      </c>
      <c r="N4" s="221" t="str">
        <f t="shared" si="1"/>
        <v>Sun</v>
      </c>
      <c r="O4" s="221" t="str">
        <f t="shared" si="1"/>
        <v>Mon</v>
      </c>
      <c r="P4" s="222" t="str">
        <f t="shared" si="1"/>
        <v>Tue</v>
      </c>
      <c r="Q4" s="222" t="str">
        <f t="shared" si="1"/>
        <v>Wed</v>
      </c>
      <c r="R4" s="222" t="str">
        <f t="shared" si="1"/>
        <v>Thu</v>
      </c>
      <c r="S4" s="222" t="str">
        <f t="shared" si="1"/>
        <v>Fri</v>
      </c>
      <c r="T4" s="222" t="str">
        <f t="shared" si="1"/>
        <v>Sat</v>
      </c>
      <c r="U4" s="222" t="str">
        <f t="shared" si="1"/>
        <v>Sun</v>
      </c>
      <c r="V4" s="222" t="str">
        <f t="shared" si="1"/>
        <v>Mon</v>
      </c>
      <c r="W4" s="222" t="str">
        <f t="shared" si="1"/>
        <v>Tue</v>
      </c>
      <c r="X4" s="261"/>
      <c r="Y4" s="261"/>
      <c r="Z4" s="209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209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209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209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209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88</v>
      </c>
      <c r="G9" s="134">
        <f t="shared" si="5"/>
        <v>88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0">
        <v>8</v>
      </c>
      <c r="T9" s="199"/>
      <c r="U9" s="199"/>
      <c r="V9" s="180">
        <v>8</v>
      </c>
      <c r="W9" s="180">
        <v>8</v>
      </c>
      <c r="X9" s="134">
        <f t="shared" si="6"/>
        <v>0</v>
      </c>
      <c r="Y9" s="136">
        <v>11</v>
      </c>
      <c r="Z9" s="209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0">
        <v>8</v>
      </c>
      <c r="T10" s="199"/>
      <c r="U10" s="199"/>
      <c r="V10" s="180">
        <v>8</v>
      </c>
      <c r="W10" s="180">
        <v>8</v>
      </c>
      <c r="X10" s="134">
        <f t="shared" si="6"/>
        <v>0</v>
      </c>
      <c r="Y10" s="136">
        <v>11</v>
      </c>
      <c r="Z10" s="209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209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209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209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209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223"/>
      <c r="B15" s="223"/>
      <c r="C15" s="223"/>
      <c r="D15" s="224">
        <f t="shared" ref="D15:W15" si="8">SUM(D5:D14)</f>
        <v>528</v>
      </c>
      <c r="E15" s="224">
        <f t="shared" si="8"/>
        <v>528</v>
      </c>
      <c r="F15" s="224">
        <f t="shared" si="8"/>
        <v>528</v>
      </c>
      <c r="G15" s="224">
        <f t="shared" si="8"/>
        <v>528</v>
      </c>
      <c r="H15" s="224">
        <f t="shared" si="8"/>
        <v>0</v>
      </c>
      <c r="I15" s="224">
        <f t="shared" si="8"/>
        <v>48</v>
      </c>
      <c r="J15" s="224">
        <f t="shared" si="8"/>
        <v>48</v>
      </c>
      <c r="K15" s="224">
        <f t="shared" si="8"/>
        <v>48</v>
      </c>
      <c r="L15" s="224">
        <f t="shared" si="8"/>
        <v>48</v>
      </c>
      <c r="M15" s="224">
        <f t="shared" si="8"/>
        <v>0</v>
      </c>
      <c r="N15" s="224">
        <f t="shared" si="8"/>
        <v>0</v>
      </c>
      <c r="O15" s="224">
        <f t="shared" si="8"/>
        <v>48</v>
      </c>
      <c r="P15" s="224">
        <f t="shared" si="8"/>
        <v>48</v>
      </c>
      <c r="Q15" s="224">
        <f t="shared" si="8"/>
        <v>48</v>
      </c>
      <c r="R15" s="224">
        <f t="shared" si="8"/>
        <v>48</v>
      </c>
      <c r="S15" s="224">
        <f t="shared" si="8"/>
        <v>48</v>
      </c>
      <c r="T15" s="224">
        <f t="shared" si="8"/>
        <v>0</v>
      </c>
      <c r="U15" s="224">
        <f t="shared" si="8"/>
        <v>0</v>
      </c>
      <c r="V15" s="224">
        <f t="shared" si="8"/>
        <v>48</v>
      </c>
      <c r="W15" s="224">
        <f t="shared" si="8"/>
        <v>48</v>
      </c>
      <c r="X15" s="224"/>
      <c r="Y15" s="224"/>
      <c r="Z15" s="209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209"/>
      <c r="B16" s="209"/>
      <c r="C16" s="209"/>
      <c r="D16" s="209"/>
      <c r="E16" s="209"/>
      <c r="F16" s="209"/>
      <c r="G16" s="209"/>
      <c r="H16" s="209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09"/>
      <c r="X16" s="209"/>
      <c r="Y16" s="209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225" t="s">
        <v>22</v>
      </c>
      <c r="B17" s="226"/>
      <c r="C17" s="226"/>
      <c r="D17" s="209"/>
      <c r="E17" s="209"/>
      <c r="F17" s="209"/>
      <c r="G17" s="209"/>
      <c r="H17" s="209"/>
      <c r="I17" s="209"/>
      <c r="J17" s="209"/>
      <c r="K17" s="209"/>
      <c r="L17" s="209"/>
      <c r="M17" s="209"/>
      <c r="N17" s="209"/>
      <c r="O17" s="209"/>
      <c r="P17" s="209"/>
      <c r="Q17" s="209"/>
      <c r="R17" s="209"/>
      <c r="S17" s="209"/>
      <c r="T17" s="209"/>
      <c r="U17" s="209"/>
      <c r="V17" s="209"/>
      <c r="W17" s="209"/>
      <c r="X17" s="209"/>
      <c r="Y17" s="209"/>
      <c r="Z17" s="209"/>
      <c r="AA17" s="114"/>
      <c r="AB17" s="120"/>
      <c r="AC17" s="114"/>
    </row>
    <row r="18" spans="1:29" ht="35.25" customHeight="1">
      <c r="A18" s="260" t="s">
        <v>1</v>
      </c>
      <c r="B18" s="260" t="s">
        <v>2</v>
      </c>
      <c r="C18" s="260" t="s">
        <v>3</v>
      </c>
      <c r="D18" s="260" t="s">
        <v>4</v>
      </c>
      <c r="E18" s="262" t="s">
        <v>5</v>
      </c>
      <c r="F18" s="261"/>
      <c r="G18" s="261"/>
      <c r="H18" s="261"/>
      <c r="I18" s="141">
        <f>W3+1</f>
        <v>45854</v>
      </c>
      <c r="J18" s="141">
        <f t="shared" ref="J18:X18" si="9">I18+1</f>
        <v>45855</v>
      </c>
      <c r="K18" s="141">
        <f t="shared" si="9"/>
        <v>45856</v>
      </c>
      <c r="L18" s="141">
        <f t="shared" si="9"/>
        <v>45857</v>
      </c>
      <c r="M18" s="141">
        <f t="shared" si="9"/>
        <v>45858</v>
      </c>
      <c r="N18" s="141">
        <f t="shared" si="9"/>
        <v>45859</v>
      </c>
      <c r="O18" s="141">
        <f t="shared" si="9"/>
        <v>45860</v>
      </c>
      <c r="P18" s="141">
        <f t="shared" si="9"/>
        <v>45861</v>
      </c>
      <c r="Q18" s="141">
        <f t="shared" si="9"/>
        <v>45862</v>
      </c>
      <c r="R18" s="141">
        <f t="shared" si="9"/>
        <v>45863</v>
      </c>
      <c r="S18" s="141">
        <f t="shared" si="9"/>
        <v>45864</v>
      </c>
      <c r="T18" s="141">
        <f t="shared" si="9"/>
        <v>45865</v>
      </c>
      <c r="U18" s="141">
        <f t="shared" si="9"/>
        <v>45866</v>
      </c>
      <c r="V18" s="141">
        <f t="shared" si="9"/>
        <v>45867</v>
      </c>
      <c r="W18" s="141">
        <f t="shared" si="9"/>
        <v>45868</v>
      </c>
      <c r="X18" s="141">
        <f t="shared" si="9"/>
        <v>45869</v>
      </c>
      <c r="Y18" s="260" t="s">
        <v>6</v>
      </c>
      <c r="Z18" s="260" t="s">
        <v>7</v>
      </c>
      <c r="AA18" s="209"/>
      <c r="AB18" s="114"/>
    </row>
    <row r="19" spans="1:29" ht="26.25" customHeight="1">
      <c r="A19" s="261"/>
      <c r="B19" s="261"/>
      <c r="C19" s="261"/>
      <c r="D19" s="261"/>
      <c r="E19" s="219" t="s">
        <v>8</v>
      </c>
      <c r="F19" s="220" t="s">
        <v>9</v>
      </c>
      <c r="G19" s="165" t="s">
        <v>10</v>
      </c>
      <c r="H19" s="165" t="s">
        <v>11</v>
      </c>
      <c r="I19" s="222" t="str">
        <f t="shared" ref="I19:X19" si="10">IF(I18="","",TEXT(WEEKDAY(I18), "ddd"))</f>
        <v>Wed</v>
      </c>
      <c r="J19" s="222" t="str">
        <f t="shared" si="10"/>
        <v>Thu</v>
      </c>
      <c r="K19" s="222" t="str">
        <f t="shared" si="10"/>
        <v>Fri</v>
      </c>
      <c r="L19" s="222" t="str">
        <f t="shared" si="10"/>
        <v>Sat</v>
      </c>
      <c r="M19" s="222" t="str">
        <f t="shared" si="10"/>
        <v>Sun</v>
      </c>
      <c r="N19" s="222" t="str">
        <f t="shared" si="10"/>
        <v>Mon</v>
      </c>
      <c r="O19" s="222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222" t="str">
        <f t="shared" si="10"/>
        <v>Fri</v>
      </c>
      <c r="S19" s="222" t="str">
        <f t="shared" si="10"/>
        <v>Sat</v>
      </c>
      <c r="T19" s="222" t="str">
        <f t="shared" si="10"/>
        <v>Sun</v>
      </c>
      <c r="U19" s="222" t="str">
        <f t="shared" si="10"/>
        <v>Mon</v>
      </c>
      <c r="V19" s="222" t="str">
        <f t="shared" si="10"/>
        <v>Tue</v>
      </c>
      <c r="W19" s="127" t="str">
        <f t="shared" si="10"/>
        <v>Wed</v>
      </c>
      <c r="X19" s="127" t="str">
        <f t="shared" si="10"/>
        <v>Thu</v>
      </c>
      <c r="Y19" s="261"/>
      <c r="Z19" s="261"/>
      <c r="AA19" s="209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96</v>
      </c>
      <c r="E20" s="134">
        <f t="shared" ref="E20:E25" si="12">Z20*8</f>
        <v>96</v>
      </c>
      <c r="F20" s="134">
        <f t="shared" ref="F20:F25" si="13">G20+H20</f>
        <v>96</v>
      </c>
      <c r="G20" s="134">
        <f t="shared" ref="G20:G25" si="14">SUM(I20:X20)</f>
        <v>96</v>
      </c>
      <c r="H20" s="135">
        <v>0</v>
      </c>
      <c r="I20" s="180">
        <v>8</v>
      </c>
      <c r="J20" s="180">
        <v>8</v>
      </c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180">
        <v>8</v>
      </c>
      <c r="W20" s="180">
        <v>8</v>
      </c>
      <c r="X20" s="207">
        <v>8</v>
      </c>
      <c r="Y20" s="134">
        <f t="shared" ref="Y20:Y25" si="15">Z20-COUNTA(I20:X20)</f>
        <v>0</v>
      </c>
      <c r="Z20" s="136">
        <v>12</v>
      </c>
      <c r="AA20" s="209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96</v>
      </c>
      <c r="E21" s="134">
        <f t="shared" si="12"/>
        <v>96</v>
      </c>
      <c r="F21" s="134">
        <f t="shared" si="13"/>
        <v>96</v>
      </c>
      <c r="G21" s="134">
        <f t="shared" si="14"/>
        <v>96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3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183">
        <v>8</v>
      </c>
      <c r="W21" s="180">
        <v>8</v>
      </c>
      <c r="X21" s="207">
        <v>8</v>
      </c>
      <c r="Y21" s="134">
        <f t="shared" si="15"/>
        <v>0</v>
      </c>
      <c r="Z21" s="136">
        <v>12</v>
      </c>
      <c r="AA21" s="209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96</v>
      </c>
      <c r="E22" s="134">
        <f t="shared" si="12"/>
        <v>96</v>
      </c>
      <c r="F22" s="134">
        <f t="shared" si="13"/>
        <v>96</v>
      </c>
      <c r="G22" s="134">
        <f t="shared" si="14"/>
        <v>96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180">
        <v>8</v>
      </c>
      <c r="W22" s="180">
        <v>8</v>
      </c>
      <c r="X22" s="207">
        <v>8</v>
      </c>
      <c r="Y22" s="134">
        <f t="shared" si="15"/>
        <v>0</v>
      </c>
      <c r="Z22" s="136">
        <v>12</v>
      </c>
      <c r="AA22" s="209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96</v>
      </c>
      <c r="E23" s="134">
        <f t="shared" si="12"/>
        <v>96</v>
      </c>
      <c r="F23" s="134">
        <f t="shared" si="13"/>
        <v>96</v>
      </c>
      <c r="G23" s="134">
        <f t="shared" si="14"/>
        <v>96</v>
      </c>
      <c r="H23" s="135">
        <v>0</v>
      </c>
      <c r="I23" s="180">
        <v>8</v>
      </c>
      <c r="J23" s="180">
        <v>8</v>
      </c>
      <c r="K23" s="180">
        <v>8</v>
      </c>
      <c r="L23" s="199"/>
      <c r="M23" s="199"/>
      <c r="N23" s="180">
        <v>8</v>
      </c>
      <c r="O23" s="183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183">
        <v>8</v>
      </c>
      <c r="W23" s="180">
        <v>8</v>
      </c>
      <c r="X23" s="207">
        <v>8</v>
      </c>
      <c r="Y23" s="134">
        <f t="shared" si="15"/>
        <v>0</v>
      </c>
      <c r="Z23" s="136">
        <v>12</v>
      </c>
      <c r="AA23" s="209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96</v>
      </c>
      <c r="E24" s="134">
        <f t="shared" si="12"/>
        <v>96</v>
      </c>
      <c r="F24" s="134">
        <f t="shared" si="13"/>
        <v>96</v>
      </c>
      <c r="G24" s="134">
        <f t="shared" si="14"/>
        <v>96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180">
        <v>8</v>
      </c>
      <c r="W24" s="180">
        <v>8</v>
      </c>
      <c r="X24" s="207">
        <v>8</v>
      </c>
      <c r="Y24" s="134">
        <f t="shared" si="15"/>
        <v>0</v>
      </c>
      <c r="Z24" s="136">
        <v>12</v>
      </c>
      <c r="AA24" s="209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96</v>
      </c>
      <c r="E25" s="134">
        <f t="shared" si="12"/>
        <v>96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0">
        <v>8</v>
      </c>
      <c r="O25" s="186"/>
      <c r="P25" s="186"/>
      <c r="Q25" s="180">
        <v>8</v>
      </c>
      <c r="R25" s="183">
        <v>8</v>
      </c>
      <c r="S25" s="200"/>
      <c r="T25" s="200"/>
      <c r="U25" s="180">
        <v>8</v>
      </c>
      <c r="V25" s="183">
        <v>8</v>
      </c>
      <c r="W25" s="180">
        <v>8</v>
      </c>
      <c r="X25" s="207">
        <v>8</v>
      </c>
      <c r="Y25" s="134">
        <f t="shared" si="15"/>
        <v>2</v>
      </c>
      <c r="Z25" s="136">
        <v>12</v>
      </c>
      <c r="AA25" s="209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209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209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209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209"/>
      <c r="AB29" s="114"/>
    </row>
    <row r="30" spans="1:29" ht="12.75" customHeight="1">
      <c r="A30" s="228"/>
      <c r="B30" s="228"/>
      <c r="C30" s="229"/>
      <c r="D30" s="224">
        <f t="shared" ref="D30:U30" si="16">SUM(D20:D29)</f>
        <v>576</v>
      </c>
      <c r="E30" s="224">
        <f t="shared" si="16"/>
        <v>576</v>
      </c>
      <c r="F30" s="224">
        <f t="shared" si="16"/>
        <v>560</v>
      </c>
      <c r="G30" s="224">
        <f t="shared" si="16"/>
        <v>560</v>
      </c>
      <c r="H30" s="224">
        <f t="shared" si="16"/>
        <v>0</v>
      </c>
      <c r="I30" s="224">
        <f t="shared" si="16"/>
        <v>48</v>
      </c>
      <c r="J30" s="224">
        <f t="shared" si="16"/>
        <v>48</v>
      </c>
      <c r="K30" s="224">
        <f t="shared" si="16"/>
        <v>48</v>
      </c>
      <c r="L30" s="224">
        <f t="shared" si="16"/>
        <v>0</v>
      </c>
      <c r="M30" s="224">
        <f t="shared" si="16"/>
        <v>0</v>
      </c>
      <c r="N30" s="224">
        <f t="shared" si="16"/>
        <v>48</v>
      </c>
      <c r="O30" s="224">
        <f t="shared" si="16"/>
        <v>40</v>
      </c>
      <c r="P30" s="224">
        <f t="shared" si="16"/>
        <v>40</v>
      </c>
      <c r="Q30" s="224">
        <f t="shared" si="16"/>
        <v>48</v>
      </c>
      <c r="R30" s="224">
        <f t="shared" si="16"/>
        <v>48</v>
      </c>
      <c r="S30" s="224">
        <f t="shared" si="16"/>
        <v>0</v>
      </c>
      <c r="T30" s="224">
        <f t="shared" si="16"/>
        <v>0</v>
      </c>
      <c r="U30" s="224">
        <f t="shared" si="16"/>
        <v>48</v>
      </c>
      <c r="V30" s="224"/>
      <c r="W30" s="224"/>
      <c r="X30" s="224"/>
      <c r="Y30" s="224"/>
      <c r="Z30" s="224"/>
      <c r="AA30" s="210"/>
      <c r="AB30" s="114"/>
    </row>
    <row r="31" spans="1:29" ht="12.75" customHeight="1">
      <c r="A31" s="230"/>
      <c r="B31" s="230"/>
      <c r="C31" s="231"/>
      <c r="D31" s="232"/>
      <c r="E31" s="233"/>
      <c r="F31" s="233"/>
      <c r="G31" s="233"/>
      <c r="H31" s="227"/>
      <c r="I31" s="234"/>
      <c r="J31" s="234"/>
      <c r="K31" s="234"/>
      <c r="L31" s="234"/>
      <c r="M31" s="234"/>
      <c r="N31" s="234"/>
      <c r="O31" s="210"/>
      <c r="P31" s="210"/>
      <c r="Q31" s="234"/>
      <c r="R31" s="234"/>
      <c r="S31" s="234"/>
      <c r="T31" s="234"/>
      <c r="U31" s="234"/>
      <c r="V31" s="234"/>
      <c r="W31" s="234"/>
      <c r="X31" s="234"/>
      <c r="Y31" s="210"/>
      <c r="Z31" s="210"/>
      <c r="AA31" s="114"/>
      <c r="AB31" s="114"/>
      <c r="AC31" s="114"/>
    </row>
    <row r="32" spans="1:29" ht="12.75" customHeight="1">
      <c r="A32" s="209"/>
      <c r="B32" s="209"/>
      <c r="C32" s="209"/>
      <c r="D32" s="209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210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184</v>
      </c>
      <c r="C34" s="154">
        <f t="shared" ref="C34:C39" si="17">E5+E20</f>
        <v>184</v>
      </c>
      <c r="D34" s="155">
        <f t="shared" ref="D34:D39" si="18">B34</f>
        <v>184</v>
      </c>
      <c r="E34" s="210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184</v>
      </c>
      <c r="C35" s="154">
        <f t="shared" si="17"/>
        <v>184</v>
      </c>
      <c r="D35" s="155">
        <f t="shared" si="18"/>
        <v>184</v>
      </c>
      <c r="E35" s="210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184</v>
      </c>
      <c r="C36" s="154">
        <f t="shared" si="17"/>
        <v>184</v>
      </c>
      <c r="D36" s="155">
        <f t="shared" si="18"/>
        <v>184</v>
      </c>
      <c r="E36" s="210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184</v>
      </c>
      <c r="C37" s="154">
        <f t="shared" si="17"/>
        <v>184</v>
      </c>
      <c r="D37" s="155">
        <f t="shared" si="18"/>
        <v>184</v>
      </c>
      <c r="E37" s="210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215" t="s">
        <v>20</v>
      </c>
      <c r="B38" s="216">
        <f>F9+F24</f>
        <v>184</v>
      </c>
      <c r="C38" s="217">
        <f t="shared" si="17"/>
        <v>184</v>
      </c>
      <c r="D38" s="218">
        <f t="shared" si="18"/>
        <v>184</v>
      </c>
      <c r="E38" s="210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184</v>
      </c>
      <c r="D39" s="160">
        <f t="shared" si="18"/>
        <v>168</v>
      </c>
      <c r="E39" s="210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211"/>
      <c r="B40" s="212">
        <f>G11+G26</f>
        <v>0</v>
      </c>
      <c r="C40" s="213">
        <f t="shared" ref="C40:D43" si="19">B40</f>
        <v>0</v>
      </c>
      <c r="D40" s="214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209"/>
      <c r="B45" s="209"/>
      <c r="C45" s="209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209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209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71">
        <f>B48*8</f>
        <v>88</v>
      </c>
      <c r="D48" s="209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209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209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209"/>
      <c r="B51" s="209"/>
      <c r="C51" s="209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12</v>
      </c>
      <c r="C55" s="171">
        <f t="shared" ref="C55:C56" si="21">B55*8</f>
        <v>96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12</v>
      </c>
      <c r="C57" s="173">
        <f t="shared" si="22"/>
        <v>96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184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s="115" customFormat="1" ht="13"/>
    <row r="261" s="115" customFormat="1" ht="13"/>
    <row r="262" s="115" customFormat="1" ht="13"/>
    <row r="263" s="115" customFormat="1" ht="13"/>
    <row r="264" s="115" customFormat="1" ht="13"/>
    <row r="265" s="115" customFormat="1" ht="13"/>
    <row r="266" s="115" customFormat="1" ht="13"/>
    <row r="267" s="115" customFormat="1" ht="13"/>
    <row r="268" s="115" customFormat="1" ht="13"/>
    <row r="269" s="115" customFormat="1" ht="13"/>
    <row r="270" s="115" customFormat="1" ht="13"/>
    <row r="271" s="115" customFormat="1" ht="13"/>
    <row r="272" s="115" customFormat="1" ht="13"/>
    <row r="273" s="115" customFormat="1" ht="13"/>
    <row r="274" s="115" customFormat="1" ht="13"/>
    <row r="275" s="115" customFormat="1" ht="13"/>
    <row r="276" s="115" customFormat="1" ht="13"/>
    <row r="277" s="115" customFormat="1" ht="13"/>
    <row r="278" s="115" customFormat="1" ht="13"/>
    <row r="279" s="115" customFormat="1" ht="13"/>
    <row r="280" s="115" customFormat="1" ht="13"/>
    <row r="281" s="115" customFormat="1" ht="13"/>
    <row r="282" s="115" customFormat="1" ht="13"/>
    <row r="283" s="115" customFormat="1" ht="13"/>
    <row r="284" s="115" customFormat="1" ht="13"/>
    <row r="285" s="115" customFormat="1" ht="13"/>
    <row r="286" s="115" customFormat="1" ht="13"/>
    <row r="287" s="115" customFormat="1" ht="13"/>
    <row r="288" s="115" customFormat="1" ht="13"/>
    <row r="289" s="115" customFormat="1" ht="13"/>
    <row r="290" s="115" customFormat="1" ht="13"/>
    <row r="291" s="115" customFormat="1" ht="13"/>
    <row r="292" s="115" customFormat="1" ht="13"/>
    <row r="293" s="115" customFormat="1" ht="13"/>
    <row r="294" s="115" customFormat="1" ht="13"/>
    <row r="295" s="115" customFormat="1" ht="13"/>
    <row r="296" s="115" customFormat="1" ht="13"/>
    <row r="297" s="115" customFormat="1" ht="13"/>
    <row r="298" s="115" customFormat="1" ht="13"/>
    <row r="299" s="115" customFormat="1" ht="13"/>
    <row r="300" s="115" customFormat="1" ht="13"/>
    <row r="301" s="115" customFormat="1" ht="13"/>
    <row r="302" s="115" customFormat="1" ht="13"/>
    <row r="303" s="115" customFormat="1" ht="13"/>
    <row r="304" s="115" customFormat="1" ht="13"/>
    <row r="305" s="115" customFormat="1" ht="13"/>
    <row r="306" s="115" customFormat="1" ht="13"/>
    <row r="307" s="115" customFormat="1" ht="13"/>
    <row r="308" s="115" customFormat="1" ht="13"/>
    <row r="309" s="115" customFormat="1" ht="13"/>
    <row r="310" s="115" customFormat="1" ht="13"/>
    <row r="311" s="115" customFormat="1" ht="13"/>
    <row r="312" s="115" customFormat="1" ht="13"/>
    <row r="313" s="115" customFormat="1" ht="13"/>
    <row r="314" s="115" customFormat="1" ht="13"/>
    <row r="315" s="115" customFormat="1" ht="13"/>
    <row r="316" s="115" customFormat="1" ht="13"/>
    <row r="317" s="115" customFormat="1" ht="13"/>
    <row r="318" s="115" customFormat="1" ht="13"/>
    <row r="319" s="115" customFormat="1" ht="13"/>
    <row r="320" s="115" customFormat="1" ht="13"/>
    <row r="321" s="115" customFormat="1" ht="13"/>
    <row r="322" s="115" customFormat="1" ht="13"/>
    <row r="323" s="115" customFormat="1" ht="13"/>
    <row r="324" s="115" customFormat="1" ht="13"/>
    <row r="325" s="115" customFormat="1" ht="13"/>
    <row r="326" s="115" customFormat="1" ht="13"/>
    <row r="327" s="115" customFormat="1" ht="13"/>
    <row r="328" s="115" customFormat="1" ht="13"/>
    <row r="329" s="115" customFormat="1" ht="13"/>
    <row r="330" s="115" customFormat="1" ht="13"/>
    <row r="331" s="115" customFormat="1" ht="13"/>
    <row r="332" s="115" customFormat="1" ht="13"/>
    <row r="333" s="115" customFormat="1" ht="13"/>
    <row r="334" s="115" customFormat="1" ht="13"/>
    <row r="335" s="115" customFormat="1" ht="13"/>
    <row r="336" s="115" customFormat="1" ht="13"/>
    <row r="337" s="115" customFormat="1" ht="13"/>
    <row r="338" s="115" customFormat="1" ht="13"/>
    <row r="339" s="115" customFormat="1" ht="13"/>
    <row r="340" s="115" customFormat="1" ht="13"/>
    <row r="341" s="115" customFormat="1" ht="13"/>
    <row r="342" s="115" customFormat="1" ht="13"/>
    <row r="343" s="115" customFormat="1" ht="13"/>
    <row r="344" s="115" customFormat="1" ht="13"/>
    <row r="345" s="115" customFormat="1" ht="13"/>
    <row r="346" s="115" customFormat="1" ht="13"/>
    <row r="347" s="115" customFormat="1" ht="13"/>
    <row r="348" s="115" customFormat="1" ht="13"/>
    <row r="349" s="115" customFormat="1" ht="13"/>
    <row r="350" s="115" customFormat="1" ht="13"/>
    <row r="351" s="115" customFormat="1" ht="13"/>
    <row r="352" s="115" customFormat="1" ht="13"/>
    <row r="353" s="115" customFormat="1" ht="13"/>
    <row r="354" s="115" customFormat="1" ht="13"/>
    <row r="355" s="115" customFormat="1" ht="13"/>
    <row r="356" s="115" customFormat="1" ht="13"/>
    <row r="357" s="115" customFormat="1" ht="13"/>
    <row r="358" s="115" customFormat="1" ht="13"/>
    <row r="359" s="115" customFormat="1" ht="13"/>
    <row r="360" s="115" customFormat="1" ht="13"/>
    <row r="361" s="115" customFormat="1" ht="13"/>
    <row r="362" s="115" customFormat="1" ht="13"/>
    <row r="363" s="115" customFormat="1" ht="13"/>
    <row r="364" s="115" customFormat="1" ht="13"/>
    <row r="365" s="115" customFormat="1" ht="13"/>
    <row r="366" s="115" customFormat="1" ht="13"/>
    <row r="367" s="115" customFormat="1" ht="13"/>
    <row r="368" s="115" customFormat="1" ht="13"/>
    <row r="369" s="115" customFormat="1" ht="13"/>
    <row r="370" s="115" customFormat="1" ht="13"/>
    <row r="371" s="115" customFormat="1" ht="13"/>
    <row r="372" s="115" customFormat="1" ht="13"/>
    <row r="373" s="115" customFormat="1" ht="13"/>
    <row r="374" s="115" customFormat="1" ht="13"/>
    <row r="375" s="115" customFormat="1" ht="13"/>
    <row r="376" s="115" customFormat="1" ht="13"/>
    <row r="377" s="115" customFormat="1" ht="13"/>
    <row r="378" s="115" customFormat="1" ht="13"/>
    <row r="379" s="115" customFormat="1" ht="13"/>
    <row r="380" s="115" customFormat="1" ht="13"/>
    <row r="381" s="115" customFormat="1" ht="13"/>
    <row r="382" s="115" customFormat="1" ht="13"/>
    <row r="383" s="115" customFormat="1" ht="13"/>
    <row r="384" s="115" customFormat="1" ht="13"/>
    <row r="385" s="115" customFormat="1" ht="13"/>
    <row r="386" s="115" customFormat="1" ht="13"/>
    <row r="387" s="115" customFormat="1" ht="13"/>
    <row r="388" s="115" customFormat="1" ht="13"/>
    <row r="389" s="115" customFormat="1" ht="13"/>
    <row r="390" s="115" customFormat="1" ht="13"/>
    <row r="391" s="115" customFormat="1" ht="13"/>
    <row r="392" s="115" customFormat="1" ht="13"/>
    <row r="393" s="115" customFormat="1" ht="13"/>
    <row r="394" s="115" customFormat="1" ht="13"/>
    <row r="395" s="115" customFormat="1" ht="13"/>
    <row r="396" s="115" customFormat="1" ht="13"/>
    <row r="397" s="115" customFormat="1" ht="13"/>
    <row r="398" s="115" customFormat="1" ht="13"/>
    <row r="399" s="115" customFormat="1" ht="13"/>
    <row r="400" s="115" customFormat="1" ht="13"/>
    <row r="401" s="115" customFormat="1" ht="13"/>
    <row r="402" s="115" customFormat="1" ht="13"/>
    <row r="403" s="115" customFormat="1" ht="13"/>
    <row r="404" s="115" customFormat="1" ht="13"/>
    <row r="405" s="115" customFormat="1" ht="13"/>
    <row r="406" s="115" customFormat="1" ht="13"/>
    <row r="407" s="115" customFormat="1" ht="13"/>
    <row r="408" s="115" customFormat="1" ht="13"/>
    <row r="409" s="115" customFormat="1" ht="13"/>
    <row r="410" s="115" customFormat="1" ht="13"/>
    <row r="411" s="115" customFormat="1" ht="13"/>
    <row r="412" s="115" customFormat="1" ht="13"/>
    <row r="413" s="115" customFormat="1" ht="13"/>
    <row r="414" s="115" customFormat="1" ht="13"/>
    <row r="415" s="115" customFormat="1" ht="13"/>
    <row r="416" s="115" customFormat="1" ht="13"/>
    <row r="417" s="115" customFormat="1" ht="13"/>
    <row r="418" s="115" customFormat="1" ht="13"/>
    <row r="419" s="115" customFormat="1" ht="13"/>
    <row r="420" s="115" customFormat="1" ht="13"/>
    <row r="421" s="115" customFormat="1" ht="13"/>
    <row r="422" s="115" customFormat="1" ht="13"/>
    <row r="423" s="115" customFormat="1" ht="13"/>
    <row r="424" s="115" customFormat="1" ht="13"/>
    <row r="425" s="115" customFormat="1" ht="13"/>
    <row r="426" s="115" customFormat="1" ht="13"/>
    <row r="427" s="115" customFormat="1" ht="13"/>
    <row r="428" s="115" customFormat="1" ht="13"/>
    <row r="429" s="115" customFormat="1" ht="13"/>
    <row r="430" s="115" customFormat="1" ht="13"/>
    <row r="431" s="115" customFormat="1" ht="13"/>
    <row r="432" s="115" customFormat="1" ht="13"/>
    <row r="433" s="115" customFormat="1" ht="13"/>
    <row r="434" s="115" customFormat="1" ht="13"/>
    <row r="435" s="115" customFormat="1" ht="13"/>
    <row r="436" s="115" customFormat="1" ht="13"/>
    <row r="437" s="115" customFormat="1" ht="13"/>
    <row r="438" s="115" customFormat="1" ht="13"/>
    <row r="439" s="115" customFormat="1" ht="13"/>
    <row r="440" s="115" customFormat="1" ht="13"/>
    <row r="441" s="115" customFormat="1" ht="13"/>
    <row r="442" s="115" customFormat="1" ht="13"/>
    <row r="443" s="115" customFormat="1" ht="13"/>
    <row r="444" s="115" customFormat="1" ht="13"/>
    <row r="445" s="115" customFormat="1" ht="13"/>
    <row r="446" s="115" customFormat="1" ht="13"/>
    <row r="447" s="115" customFormat="1" ht="13"/>
    <row r="448" s="115" customFormat="1" ht="13"/>
    <row r="449" s="115" customFormat="1" ht="13"/>
    <row r="450" s="115" customFormat="1" ht="13"/>
    <row r="451" s="115" customFormat="1" ht="13"/>
    <row r="452" s="115" customFormat="1" ht="13"/>
    <row r="453" s="115" customFormat="1" ht="13"/>
    <row r="454" s="115" customFormat="1" ht="13"/>
    <row r="455" s="115" customFormat="1" ht="13"/>
    <row r="456" s="115" customFormat="1" ht="13"/>
    <row r="457" s="115" customFormat="1" ht="13"/>
    <row r="458" s="115" customFormat="1" ht="13"/>
    <row r="459" s="115" customFormat="1" ht="13"/>
    <row r="460" s="115" customFormat="1" ht="13"/>
    <row r="461" s="115" customFormat="1" ht="13"/>
    <row r="462" s="115" customFormat="1" ht="13"/>
    <row r="463" s="115" customFormat="1" ht="13"/>
    <row r="464" s="115" customFormat="1" ht="13"/>
    <row r="465" s="115" customFormat="1" ht="13"/>
    <row r="466" s="115" customFormat="1" ht="13"/>
    <row r="467" s="115" customFormat="1" ht="13"/>
    <row r="468" s="115" customFormat="1" ht="13"/>
    <row r="469" s="115" customFormat="1" ht="13"/>
    <row r="470" s="115" customFormat="1" ht="13"/>
    <row r="471" s="115" customFormat="1" ht="13"/>
    <row r="472" s="115" customFormat="1" ht="13"/>
    <row r="473" s="115" customFormat="1" ht="13"/>
    <row r="474" s="115" customFormat="1" ht="13"/>
    <row r="475" s="115" customFormat="1" ht="13"/>
    <row r="476" s="115" customFormat="1" ht="13"/>
    <row r="477" s="115" customFormat="1" ht="13"/>
    <row r="478" s="115" customFormat="1" ht="13"/>
    <row r="479" s="115" customFormat="1" ht="13"/>
    <row r="480" s="115" customFormat="1" ht="13"/>
    <row r="481" s="115" customFormat="1" ht="13"/>
    <row r="482" s="115" customFormat="1" ht="13"/>
    <row r="483" s="115" customFormat="1" ht="13"/>
    <row r="484" s="115" customFormat="1" ht="13"/>
    <row r="485" s="115" customFormat="1" ht="13"/>
    <row r="486" s="115" customFormat="1" ht="13"/>
    <row r="487" s="115" customFormat="1" ht="13"/>
    <row r="488" s="115" customFormat="1" ht="13"/>
    <row r="489" s="115" customFormat="1" ht="13"/>
    <row r="490" s="115" customFormat="1" ht="13"/>
    <row r="491" s="115" customFormat="1" ht="13"/>
    <row r="492" s="115" customFormat="1" ht="13"/>
    <row r="493" s="115" customFormat="1" ht="13"/>
    <row r="494" s="115" customFormat="1" ht="13"/>
    <row r="495" s="115" customFormat="1" ht="13"/>
    <row r="496" s="115" customFormat="1" ht="13"/>
    <row r="497" s="115" customFormat="1" ht="13"/>
    <row r="498" s="115" customFormat="1" ht="13"/>
    <row r="499" s="115" customFormat="1" ht="13"/>
    <row r="500" s="115" customFormat="1" ht="13"/>
    <row r="501" s="115" customFormat="1" ht="13"/>
    <row r="502" s="115" customFormat="1" ht="13"/>
    <row r="503" s="115" customFormat="1" ht="13"/>
    <row r="504" s="115" customFormat="1" ht="13"/>
    <row r="505" s="115" customFormat="1" ht="13"/>
    <row r="506" s="115" customFormat="1" ht="13"/>
    <row r="507" s="115" customFormat="1" ht="13"/>
    <row r="508" s="115" customFormat="1" ht="13"/>
    <row r="509" s="115" customFormat="1" ht="13"/>
    <row r="510" s="115" customFormat="1" ht="13"/>
    <row r="511" s="115" customFormat="1" ht="13"/>
    <row r="512" s="115" customFormat="1" ht="13"/>
    <row r="513" s="115" customFormat="1" ht="13"/>
    <row r="514" s="115" customFormat="1" ht="13"/>
    <row r="515" s="115" customFormat="1" ht="13"/>
    <row r="516" s="115" customFormat="1" ht="13"/>
    <row r="517" s="115" customFormat="1" ht="13"/>
    <row r="518" s="115" customFormat="1" ht="13"/>
    <row r="519" s="115" customFormat="1" ht="13"/>
    <row r="520" s="115" customFormat="1" ht="13"/>
    <row r="521" s="115" customFormat="1" ht="13"/>
    <row r="522" s="115" customFormat="1" ht="13"/>
    <row r="523" s="115" customFormat="1" ht="13"/>
    <row r="524" s="115" customFormat="1" ht="13"/>
    <row r="525" s="115" customFormat="1" ht="13"/>
    <row r="526" s="115" customFormat="1" ht="13"/>
    <row r="527" s="115" customFormat="1" ht="13"/>
    <row r="528" s="115" customFormat="1" ht="13"/>
    <row r="529" s="115" customFormat="1" ht="13"/>
    <row r="530" s="115" customFormat="1" ht="13"/>
    <row r="531" s="115" customFormat="1" ht="13"/>
    <row r="532" s="115" customFormat="1" ht="13"/>
    <row r="533" s="115" customFormat="1" ht="13"/>
    <row r="534" s="115" customFormat="1" ht="13"/>
    <row r="535" s="115" customFormat="1" ht="13"/>
    <row r="536" s="115" customFormat="1" ht="13"/>
    <row r="537" s="115" customFormat="1" ht="13"/>
    <row r="538" s="115" customFormat="1" ht="13"/>
    <row r="539" s="115" customFormat="1" ht="13"/>
    <row r="540" s="115" customFormat="1" ht="13"/>
    <row r="541" s="115" customFormat="1" ht="13"/>
    <row r="542" s="115" customFormat="1" ht="13"/>
    <row r="543" s="115" customFormat="1" ht="13"/>
    <row r="544" s="115" customFormat="1" ht="13"/>
    <row r="545" s="115" customFormat="1" ht="13"/>
    <row r="546" s="115" customFormat="1" ht="13"/>
    <row r="547" s="115" customFormat="1" ht="13"/>
    <row r="548" s="115" customFormat="1" ht="13"/>
    <row r="549" s="115" customFormat="1" ht="13"/>
    <row r="550" s="115" customFormat="1" ht="13"/>
    <row r="551" s="115" customFormat="1" ht="13"/>
    <row r="552" s="115" customFormat="1" ht="13"/>
    <row r="553" s="115" customFormat="1" ht="13"/>
    <row r="554" s="115" customFormat="1" ht="13"/>
    <row r="555" s="115" customFormat="1" ht="13"/>
    <row r="556" s="115" customFormat="1" ht="13"/>
    <row r="557" s="115" customFormat="1" ht="13"/>
    <row r="558" s="115" customFormat="1" ht="13"/>
    <row r="559" s="115" customFormat="1" ht="13"/>
    <row r="560" s="115" customFormat="1" ht="13"/>
    <row r="561" s="115" customFormat="1" ht="13"/>
    <row r="562" s="115" customFormat="1" ht="13"/>
    <row r="563" s="115" customFormat="1" ht="13"/>
    <row r="564" s="115" customFormat="1" ht="13"/>
    <row r="565" s="115" customFormat="1" ht="13"/>
    <row r="566" s="115" customFormat="1" ht="13"/>
    <row r="567" s="115" customFormat="1" ht="13"/>
    <row r="568" s="115" customFormat="1" ht="13"/>
    <row r="569" s="115" customFormat="1" ht="13"/>
    <row r="570" s="115" customFormat="1" ht="13"/>
    <row r="571" s="115" customFormat="1" ht="13"/>
    <row r="572" s="115" customFormat="1" ht="13"/>
    <row r="573" s="115" customFormat="1" ht="13"/>
    <row r="574" s="115" customFormat="1" ht="13"/>
    <row r="575" s="115" customFormat="1" ht="13"/>
    <row r="576" s="115" customFormat="1" ht="13"/>
    <row r="577" s="115" customFormat="1" ht="13"/>
    <row r="578" s="115" customFormat="1" ht="13"/>
    <row r="579" s="115" customFormat="1" ht="13"/>
    <row r="580" s="115" customFormat="1" ht="13"/>
    <row r="581" s="115" customFormat="1" ht="13"/>
    <row r="582" s="115" customFormat="1" ht="13"/>
    <row r="583" s="115" customFormat="1" ht="13"/>
    <row r="584" s="115" customFormat="1" ht="13"/>
    <row r="585" s="115" customFormat="1" ht="13"/>
    <row r="586" s="115" customFormat="1" ht="13"/>
    <row r="587" s="115" customFormat="1" ht="13"/>
    <row r="588" s="115" customFormat="1" ht="13"/>
    <row r="589" s="115" customFormat="1" ht="13"/>
    <row r="590" s="115" customFormat="1" ht="13"/>
    <row r="591" s="115" customFormat="1" ht="13"/>
    <row r="592" s="115" customFormat="1" ht="13"/>
    <row r="593" s="115" customFormat="1" ht="13"/>
    <row r="594" s="115" customFormat="1" ht="13"/>
    <row r="595" s="115" customFormat="1" ht="13"/>
    <row r="596" s="115" customFormat="1" ht="13"/>
    <row r="597" s="115" customFormat="1" ht="13"/>
    <row r="598" s="115" customFormat="1" ht="13"/>
    <row r="599" s="115" customFormat="1" ht="13"/>
    <row r="600" s="115" customFormat="1" ht="13"/>
    <row r="601" s="115" customFormat="1" ht="13"/>
    <row r="602" s="115" customFormat="1" ht="13"/>
    <row r="603" s="115" customFormat="1" ht="13"/>
    <row r="604" s="115" customFormat="1" ht="13"/>
    <row r="605" s="115" customFormat="1" ht="13"/>
    <row r="606" s="115" customFormat="1" ht="13"/>
    <row r="607" s="115" customFormat="1" ht="13"/>
    <row r="608" s="115" customFormat="1" ht="13"/>
    <row r="609" s="115" customFormat="1" ht="13"/>
    <row r="610" s="115" customFormat="1" ht="13"/>
    <row r="611" s="115" customFormat="1" ht="13"/>
    <row r="612" s="115" customFormat="1" ht="13"/>
    <row r="613" s="115" customFormat="1" ht="13"/>
    <row r="614" s="115" customFormat="1" ht="13"/>
    <row r="615" s="115" customFormat="1" ht="13"/>
    <row r="616" s="115" customFormat="1" ht="13"/>
    <row r="617" s="115" customFormat="1" ht="13"/>
    <row r="618" s="115" customFormat="1" ht="13"/>
    <row r="619" s="115" customFormat="1" ht="13"/>
    <row r="620" s="115" customFormat="1" ht="13"/>
    <row r="621" s="115" customFormat="1" ht="13"/>
    <row r="622" s="115" customFormat="1" ht="13"/>
    <row r="623" s="115" customFormat="1" ht="13"/>
    <row r="624" s="115" customFormat="1" ht="13"/>
    <row r="625" s="115" customFormat="1" ht="13"/>
    <row r="626" s="115" customFormat="1" ht="13"/>
    <row r="627" s="115" customFormat="1" ht="13"/>
    <row r="628" s="115" customFormat="1" ht="13"/>
    <row r="629" s="115" customFormat="1" ht="13"/>
    <row r="630" s="115" customFormat="1" ht="13"/>
    <row r="631" s="115" customFormat="1" ht="13"/>
    <row r="632" s="115" customFormat="1" ht="13"/>
    <row r="633" s="115" customFormat="1" ht="13"/>
    <row r="634" s="115" customFormat="1" ht="13"/>
    <row r="635" s="115" customFormat="1" ht="13"/>
    <row r="636" s="115" customFormat="1" ht="13"/>
    <row r="637" s="115" customFormat="1" ht="13"/>
    <row r="638" s="115" customFormat="1" ht="13"/>
    <row r="639" s="115" customFormat="1" ht="13"/>
    <row r="640" s="115" customFormat="1" ht="13"/>
    <row r="641" s="115" customFormat="1" ht="13"/>
    <row r="642" s="115" customFormat="1" ht="13"/>
    <row r="643" s="115" customFormat="1" ht="13"/>
    <row r="644" s="115" customFormat="1" ht="13"/>
    <row r="645" s="115" customFormat="1" ht="13"/>
    <row r="646" s="115" customFormat="1" ht="13"/>
    <row r="647" s="115" customFormat="1" ht="13"/>
    <row r="648" s="115" customFormat="1" ht="13"/>
    <row r="649" s="115" customFormat="1" ht="13"/>
    <row r="650" s="115" customFormat="1" ht="13"/>
    <row r="651" s="115" customFormat="1" ht="13"/>
    <row r="652" s="115" customFormat="1" ht="13"/>
    <row r="653" s="115" customFormat="1" ht="13"/>
    <row r="654" s="115" customFormat="1" ht="13"/>
    <row r="655" s="115" customFormat="1" ht="13"/>
    <row r="656" s="115" customFormat="1" ht="13"/>
    <row r="657" s="115" customFormat="1" ht="13"/>
    <row r="658" s="115" customFormat="1" ht="13"/>
    <row r="659" s="115" customFormat="1" ht="13"/>
    <row r="660" s="115" customFormat="1" ht="13"/>
    <row r="661" s="115" customFormat="1" ht="13"/>
    <row r="662" s="115" customFormat="1" ht="13"/>
    <row r="663" s="115" customFormat="1" ht="13"/>
    <row r="664" s="115" customFormat="1" ht="13"/>
    <row r="665" s="115" customFormat="1" ht="13"/>
    <row r="666" s="115" customFormat="1" ht="13"/>
    <row r="667" s="115" customFormat="1" ht="13"/>
    <row r="668" s="115" customFormat="1" ht="13"/>
    <row r="669" s="115" customFormat="1" ht="13"/>
    <row r="670" s="115" customFormat="1" ht="13"/>
    <row r="671" s="115" customFormat="1" ht="13"/>
    <row r="672" s="115" customFormat="1" ht="13"/>
    <row r="673" s="115" customFormat="1" ht="13"/>
    <row r="674" s="115" customFormat="1" ht="13"/>
    <row r="675" s="115" customFormat="1" ht="13"/>
    <row r="676" s="115" customFormat="1" ht="13"/>
    <row r="677" s="115" customFormat="1" ht="13"/>
    <row r="678" s="115" customFormat="1" ht="13"/>
    <row r="679" s="115" customFormat="1" ht="13"/>
    <row r="680" s="115" customFormat="1" ht="13"/>
    <row r="681" s="115" customFormat="1" ht="13"/>
    <row r="682" s="115" customFormat="1" ht="13"/>
    <row r="683" s="115" customFormat="1" ht="13"/>
    <row r="684" s="115" customFormat="1" ht="13"/>
    <row r="685" s="115" customFormat="1" ht="13"/>
    <row r="686" s="115" customFormat="1" ht="13"/>
    <row r="687" s="115" customFormat="1" ht="13"/>
    <row r="688" s="115" customFormat="1" ht="13"/>
    <row r="689" s="115" customFormat="1" ht="13"/>
    <row r="690" s="115" customFormat="1" ht="13"/>
    <row r="691" s="115" customFormat="1" ht="13"/>
    <row r="692" s="115" customFormat="1" ht="13"/>
    <row r="693" s="115" customFormat="1" ht="13"/>
    <row r="694" s="115" customFormat="1" ht="13"/>
    <row r="695" s="115" customFormat="1" ht="13"/>
    <row r="696" s="115" customFormat="1" ht="13"/>
    <row r="697" s="115" customFormat="1" ht="13"/>
    <row r="698" s="115" customFormat="1" ht="13"/>
    <row r="699" s="115" customFormat="1" ht="13"/>
    <row r="700" s="115" customFormat="1" ht="13"/>
    <row r="701" s="115" customFormat="1" ht="13"/>
    <row r="702" s="115" customFormat="1" ht="13"/>
    <row r="703" s="115" customFormat="1" ht="13"/>
    <row r="704" s="115" customFormat="1" ht="13"/>
    <row r="705" s="115" customFormat="1" ht="13"/>
    <row r="706" s="115" customFormat="1" ht="13"/>
    <row r="707" s="115" customFormat="1" ht="13"/>
    <row r="708" s="115" customFormat="1" ht="13"/>
    <row r="709" s="115" customFormat="1" ht="13"/>
    <row r="710" s="115" customFormat="1" ht="13"/>
    <row r="711" s="115" customFormat="1" ht="13"/>
    <row r="712" s="115" customFormat="1" ht="13"/>
    <row r="713" s="115" customFormat="1" ht="13"/>
    <row r="714" s="115" customFormat="1" ht="13"/>
    <row r="715" s="115" customFormat="1" ht="13"/>
    <row r="716" s="115" customFormat="1" ht="13"/>
    <row r="717" s="115" customFormat="1" ht="13"/>
    <row r="718" s="115" customFormat="1" ht="13"/>
    <row r="719" s="115" customFormat="1" ht="13"/>
    <row r="720" s="115" customFormat="1" ht="13"/>
    <row r="721" s="115" customFormat="1" ht="13"/>
    <row r="722" s="115" customFormat="1" ht="13"/>
    <row r="723" s="115" customFormat="1" ht="13"/>
    <row r="724" s="115" customFormat="1" ht="13"/>
    <row r="725" s="115" customFormat="1" ht="13"/>
    <row r="726" s="115" customFormat="1" ht="13"/>
    <row r="727" s="115" customFormat="1" ht="13"/>
    <row r="728" s="115" customFormat="1" ht="13"/>
    <row r="729" s="115" customFormat="1" ht="13"/>
    <row r="730" s="115" customFormat="1" ht="13"/>
    <row r="731" s="115" customFormat="1" ht="13"/>
    <row r="732" s="115" customFormat="1" ht="13"/>
    <row r="733" s="115" customFormat="1" ht="13"/>
    <row r="734" s="115" customFormat="1" ht="13"/>
    <row r="735" s="115" customFormat="1" ht="13"/>
    <row r="736" s="115" customFormat="1" ht="13"/>
    <row r="737" s="115" customFormat="1" ht="13"/>
    <row r="738" s="115" customFormat="1" ht="13"/>
    <row r="739" s="115" customFormat="1" ht="13"/>
    <row r="740" s="115" customFormat="1" ht="13"/>
    <row r="741" s="115" customFormat="1" ht="13"/>
    <row r="742" s="115" customFormat="1" ht="13"/>
    <row r="743" s="115" customFormat="1" ht="13"/>
    <row r="744" s="115" customFormat="1" ht="13"/>
    <row r="745" s="115" customFormat="1" ht="13"/>
    <row r="746" s="115" customFormat="1" ht="13"/>
    <row r="747" s="115" customFormat="1" ht="13"/>
    <row r="748" s="115" customFormat="1" ht="13"/>
    <row r="749" s="115" customFormat="1" ht="13"/>
    <row r="750" s="115" customFormat="1" ht="13"/>
    <row r="751" s="115" customFormat="1" ht="13"/>
    <row r="752" s="115" customFormat="1" ht="13"/>
    <row r="753" s="115" customFormat="1" ht="13"/>
    <row r="754" s="115" customFormat="1" ht="13"/>
    <row r="755" s="115" customFormat="1" ht="13"/>
    <row r="756" s="115" customFormat="1" ht="13"/>
    <row r="757" s="115" customFormat="1" ht="13"/>
    <row r="758" s="115" customFormat="1" ht="13"/>
    <row r="759" s="115" customFormat="1" ht="13"/>
    <row r="760" s="115" customFormat="1" ht="13"/>
    <row r="761" s="115" customFormat="1" ht="13"/>
    <row r="762" s="115" customFormat="1" ht="13"/>
    <row r="763" s="115" customFormat="1" ht="13"/>
    <row r="764" s="115" customFormat="1" ht="13"/>
    <row r="765" s="115" customFormat="1" ht="13"/>
    <row r="766" s="115" customFormat="1" ht="13"/>
    <row r="767" s="115" customFormat="1" ht="13"/>
    <row r="768" s="115" customFormat="1" ht="13"/>
    <row r="769" s="115" customFormat="1" ht="13"/>
    <row r="770" s="115" customFormat="1" ht="13"/>
    <row r="771" s="115" customFormat="1" ht="13"/>
    <row r="772" s="115" customFormat="1" ht="13"/>
    <row r="773" s="115" customFormat="1" ht="13"/>
    <row r="774" s="115" customFormat="1" ht="13"/>
    <row r="775" s="115" customFormat="1" ht="13"/>
    <row r="776" s="115" customFormat="1" ht="13"/>
    <row r="777" s="115" customFormat="1" ht="13"/>
    <row r="778" s="115" customFormat="1" ht="13"/>
    <row r="779" s="115" customFormat="1" ht="13"/>
    <row r="780" s="115" customFormat="1" ht="13"/>
    <row r="781" s="115" customFormat="1" ht="13"/>
    <row r="782" s="115" customFormat="1" ht="13"/>
    <row r="783" s="115" customFormat="1" ht="13"/>
    <row r="784" s="115" customFormat="1" ht="13"/>
    <row r="785" s="115" customFormat="1" ht="13"/>
    <row r="786" s="115" customFormat="1" ht="13"/>
    <row r="787" s="115" customFormat="1" ht="13"/>
    <row r="788" s="115" customFormat="1" ht="13"/>
    <row r="789" s="115" customFormat="1" ht="13"/>
    <row r="790" s="115" customFormat="1" ht="13"/>
    <row r="791" s="115" customFormat="1" ht="13"/>
    <row r="792" s="115" customFormat="1" ht="13"/>
    <row r="793" s="115" customFormat="1" ht="13"/>
    <row r="794" s="115" customFormat="1" ht="13"/>
    <row r="795" s="115" customFormat="1" ht="13"/>
    <row r="796" s="115" customFormat="1" ht="13"/>
    <row r="797" s="115" customFormat="1" ht="13"/>
    <row r="798" s="115" customFormat="1" ht="13"/>
    <row r="799" s="115" customFormat="1" ht="13"/>
    <row r="800" s="115" customFormat="1" ht="13"/>
    <row r="801" s="115" customFormat="1" ht="13"/>
    <row r="802" s="115" customFormat="1" ht="13"/>
    <row r="803" s="115" customFormat="1" ht="13"/>
    <row r="804" s="115" customFormat="1" ht="13"/>
    <row r="805" s="115" customFormat="1" ht="13"/>
    <row r="806" s="115" customFormat="1" ht="13"/>
    <row r="807" s="115" customFormat="1" ht="13"/>
    <row r="808" s="115" customFormat="1" ht="13"/>
    <row r="809" s="115" customFormat="1" ht="13"/>
    <row r="810" s="115" customFormat="1" ht="13"/>
    <row r="811" s="115" customFormat="1" ht="13"/>
    <row r="812" s="115" customFormat="1" ht="13"/>
    <row r="813" s="115" customFormat="1" ht="13"/>
    <row r="814" s="115" customFormat="1" ht="13"/>
    <row r="815" s="115" customFormat="1" ht="13"/>
    <row r="816" s="115" customFormat="1" ht="13"/>
    <row r="817" s="115" customFormat="1" ht="13"/>
    <row r="818" s="115" customFormat="1" ht="13"/>
    <row r="819" s="115" customFormat="1" ht="13"/>
    <row r="820" s="115" customFormat="1" ht="13"/>
    <row r="821" s="115" customFormat="1" ht="13"/>
    <row r="822" s="115" customFormat="1" ht="13"/>
    <row r="823" s="115" customFormat="1" ht="13"/>
    <row r="824" s="115" customFormat="1" ht="13"/>
    <row r="825" s="115" customFormat="1" ht="13"/>
    <row r="826" s="115" customFormat="1" ht="13"/>
    <row r="827" s="115" customFormat="1" ht="13"/>
    <row r="828" s="115" customFormat="1" ht="13"/>
    <row r="829" s="115" customFormat="1" ht="13"/>
    <row r="830" s="115" customFormat="1" ht="13"/>
    <row r="831" s="115" customFormat="1" ht="13"/>
    <row r="832" s="115" customFormat="1" ht="13"/>
    <row r="833" s="115" customFormat="1" ht="13"/>
    <row r="834" s="115" customFormat="1" ht="13"/>
    <row r="835" s="115" customFormat="1" ht="13"/>
    <row r="836" s="115" customFormat="1" ht="13"/>
    <row r="837" s="115" customFormat="1" ht="13"/>
    <row r="838" s="115" customFormat="1" ht="13"/>
    <row r="839" s="115" customFormat="1" ht="13"/>
    <row r="840" s="115" customFormat="1" ht="13"/>
    <row r="841" s="115" customFormat="1" ht="13"/>
    <row r="842" s="115" customFormat="1" ht="13"/>
    <row r="843" s="115" customFormat="1" ht="13"/>
    <row r="844" s="115" customFormat="1" ht="13"/>
    <row r="845" s="115" customFormat="1" ht="13"/>
    <row r="846" s="115" customFormat="1" ht="13"/>
    <row r="847" s="115" customFormat="1" ht="13"/>
    <row r="848" s="115" customFormat="1" ht="13"/>
    <row r="849" s="115" customFormat="1" ht="13"/>
    <row r="850" s="115" customFormat="1" ht="13"/>
    <row r="851" s="115" customFormat="1" ht="13"/>
    <row r="852" s="115" customFormat="1" ht="13"/>
    <row r="853" s="115" customFormat="1" ht="13"/>
    <row r="854" s="115" customFormat="1" ht="13"/>
    <row r="855" s="115" customFormat="1" ht="13"/>
    <row r="856" s="115" customFormat="1" ht="13"/>
    <row r="857" s="115" customFormat="1" ht="13"/>
    <row r="858" s="115" customFormat="1" ht="13"/>
    <row r="859" s="115" customFormat="1" ht="13"/>
    <row r="860" s="115" customFormat="1" ht="13"/>
    <row r="861" s="115" customFormat="1" ht="13"/>
    <row r="862" s="115" customFormat="1" ht="13"/>
    <row r="863" s="115" customFormat="1" ht="13"/>
    <row r="864" s="115" customFormat="1" ht="13"/>
    <row r="865" s="115" customFormat="1" ht="13"/>
    <row r="866" s="115" customFormat="1" ht="13"/>
    <row r="867" s="115" customFormat="1" ht="13"/>
    <row r="868" s="115" customFormat="1" ht="13"/>
    <row r="869" s="115" customFormat="1" ht="13"/>
    <row r="870" s="115" customFormat="1" ht="13"/>
    <row r="871" s="115" customFormat="1" ht="13"/>
    <row r="872" s="115" customFormat="1" ht="13"/>
    <row r="873" s="115" customFormat="1" ht="13"/>
    <row r="874" s="115" customFormat="1" ht="13"/>
    <row r="875" s="115" customFormat="1" ht="13"/>
    <row r="876" s="115" customFormat="1" ht="13"/>
    <row r="877" s="115" customFormat="1" ht="13"/>
    <row r="878" s="115" customFormat="1" ht="13"/>
    <row r="879" s="115" customFormat="1" ht="13"/>
    <row r="880" s="115" customFormat="1" ht="13"/>
    <row r="881" s="115" customFormat="1" ht="13"/>
    <row r="882" s="115" customFormat="1" ht="13"/>
    <row r="883" s="115" customFormat="1" ht="13"/>
    <row r="884" s="115" customFormat="1" ht="13"/>
    <row r="885" s="115" customFormat="1" ht="13"/>
    <row r="886" s="115" customFormat="1" ht="13"/>
    <row r="887" s="115" customFormat="1" ht="13"/>
    <row r="888" s="115" customFormat="1" ht="13"/>
    <row r="889" s="115" customFormat="1" ht="13"/>
    <row r="890" s="115" customFormat="1" ht="13"/>
    <row r="891" s="115" customFormat="1" ht="13"/>
    <row r="892" s="115" customFormat="1" ht="13"/>
    <row r="893" s="115" customFormat="1" ht="13"/>
    <row r="894" s="115" customFormat="1" ht="13"/>
    <row r="895" s="115" customFormat="1" ht="13"/>
    <row r="896" s="115" customFormat="1" ht="13"/>
    <row r="897" s="115" customFormat="1" ht="13"/>
    <row r="898" s="115" customFormat="1" ht="13"/>
    <row r="899" s="115" customFormat="1" ht="13"/>
    <row r="900" s="115" customFormat="1" ht="13"/>
    <row r="901" s="115" customFormat="1" ht="13"/>
    <row r="902" s="115" customFormat="1" ht="13"/>
    <row r="903" s="115" customFormat="1" ht="13"/>
    <row r="904" s="115" customFormat="1" ht="13"/>
    <row r="905" s="115" customFormat="1" ht="13"/>
    <row r="906" s="115" customFormat="1" ht="13"/>
    <row r="907" s="115" customFormat="1" ht="13"/>
    <row r="908" s="115" customFormat="1" ht="13"/>
    <row r="909" s="115" customFormat="1" ht="13"/>
    <row r="910" s="115" customFormat="1" ht="13"/>
    <row r="911" s="115" customFormat="1" ht="13"/>
    <row r="912" s="115" customFormat="1" ht="13"/>
    <row r="913" s="115" customFormat="1" ht="13"/>
    <row r="914" s="115" customFormat="1" ht="13"/>
    <row r="915" s="115" customFormat="1" ht="13"/>
    <row r="916" s="115" customFormat="1" ht="13"/>
    <row r="917" s="115" customFormat="1" ht="13"/>
    <row r="918" s="115" customFormat="1" ht="13"/>
    <row r="919" s="115" customFormat="1" ht="13"/>
    <row r="920" s="115" customFormat="1" ht="13"/>
    <row r="921" s="115" customFormat="1" ht="13"/>
    <row r="922" s="115" customFormat="1" ht="13"/>
    <row r="923" s="115" customFormat="1" ht="13"/>
    <row r="924" s="115" customFormat="1" ht="13"/>
    <row r="925" s="115" customFormat="1" ht="13"/>
    <row r="926" s="115" customFormat="1" ht="13"/>
    <row r="927" s="115" customFormat="1" ht="13"/>
    <row r="928" s="115" customFormat="1" ht="13"/>
    <row r="929" s="115" customFormat="1" ht="13"/>
    <row r="930" s="115" customFormat="1" ht="13"/>
    <row r="931" s="115" customFormat="1" ht="13"/>
    <row r="932" s="115" customFormat="1" ht="13"/>
    <row r="933" s="115" customFormat="1" ht="13"/>
    <row r="934" s="115" customFormat="1" ht="13"/>
    <row r="935" s="115" customFormat="1" ht="13"/>
    <row r="936" s="115" customFormat="1" ht="13"/>
    <row r="937" s="115" customFormat="1" ht="13"/>
    <row r="938" s="115" customFormat="1" ht="13"/>
    <row r="939" s="115" customFormat="1" ht="13"/>
    <row r="940" s="115" customFormat="1" ht="13"/>
    <row r="941" s="115" customFormat="1" ht="13"/>
    <row r="942" s="115" customFormat="1" ht="13"/>
    <row r="943" s="115" customFormat="1" ht="13"/>
    <row r="944" s="115" customFormat="1" ht="13"/>
    <row r="945" s="115" customFormat="1" ht="13"/>
    <row r="946" s="115" customFormat="1" ht="13"/>
    <row r="947" s="115" customFormat="1" ht="13"/>
    <row r="948" s="115" customFormat="1" ht="13"/>
    <row r="949" s="115" customFormat="1" ht="13"/>
    <row r="950" s="115" customFormat="1" ht="13"/>
    <row r="951" s="115" customFormat="1" ht="13"/>
    <row r="952" s="115" customFormat="1" ht="13"/>
    <row r="953" s="115" customFormat="1" ht="13"/>
    <row r="954" s="115" customFormat="1" ht="13"/>
    <row r="955" s="115" customFormat="1" ht="13"/>
    <row r="956" s="115" customFormat="1" ht="13"/>
    <row r="957" s="115" customFormat="1" ht="13"/>
    <row r="958" s="115" customFormat="1" ht="13"/>
    <row r="959" s="115" customFormat="1" ht="13"/>
    <row r="960" s="115" customFormat="1" ht="13"/>
    <row r="961" s="115" customFormat="1" ht="13"/>
    <row r="962" s="115" customFormat="1" ht="13"/>
    <row r="963" s="115" customFormat="1" ht="13"/>
    <row r="964" s="115" customFormat="1" ht="13"/>
    <row r="965" s="115" customFormat="1" ht="13"/>
    <row r="966" s="115" customFormat="1" ht="13"/>
    <row r="967" s="115" customFormat="1" ht="13"/>
    <row r="968" s="115" customFormat="1" ht="13"/>
    <row r="969" s="115" customFormat="1" ht="13"/>
    <row r="970" s="115" customFormat="1" ht="13"/>
    <row r="971" s="115" customFormat="1" ht="13"/>
    <row r="972" s="115" customFormat="1" ht="13"/>
    <row r="973" s="115" customFormat="1" ht="13"/>
    <row r="974" s="115" customFormat="1" ht="13"/>
    <row r="975" s="115" customFormat="1" ht="13"/>
    <row r="976" s="115" customFormat="1" ht="13"/>
    <row r="977" s="115" customFormat="1" ht="13"/>
    <row r="978" s="115" customFormat="1" ht="13"/>
    <row r="979" s="115" customFormat="1" ht="13"/>
    <row r="980" s="115" customFormat="1" ht="13"/>
    <row r="981" s="115" customFormat="1" ht="13"/>
    <row r="982" s="115" customFormat="1" ht="13"/>
    <row r="983" s="115" customFormat="1" ht="13"/>
    <row r="984" s="115" customFormat="1" ht="13"/>
    <row r="985" s="115" customFormat="1" ht="13"/>
    <row r="986" s="115" customFormat="1" ht="13"/>
    <row r="987" s="115" customFormat="1" ht="13"/>
    <row r="988" s="115" customFormat="1" ht="13"/>
    <row r="989" s="115" customFormat="1" ht="13"/>
    <row r="990" s="115" customFormat="1" ht="13"/>
    <row r="991" s="115" customFormat="1" ht="13"/>
    <row r="992" s="115" customFormat="1" ht="13"/>
    <row r="993" s="115" customFormat="1" ht="13"/>
    <row r="994" s="115" customFormat="1" ht="13"/>
    <row r="995" s="115" customFormat="1" ht="13"/>
    <row r="996" s="115" customFormat="1" ht="13"/>
    <row r="997" s="115" customFormat="1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C9859-A826-4016-8BC0-97B68401CF5E}">
  <sheetPr>
    <tabColor theme="8"/>
  </sheetPr>
  <dimension ref="A1:AI997"/>
  <sheetViews>
    <sheetView showGridLines="0" workbookViewId="0">
      <pane xSplit="2" topLeftCell="D1" activePane="topRight" state="frozen"/>
      <selection pane="topRight" activeCell="J20" sqref="J20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45748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45748</v>
      </c>
      <c r="J3" s="121">
        <f t="shared" ref="J3:W3" si="0">I3+1</f>
        <v>45749</v>
      </c>
      <c r="K3" s="121">
        <f t="shared" si="0"/>
        <v>45750</v>
      </c>
      <c r="L3" s="121">
        <f t="shared" si="0"/>
        <v>45751</v>
      </c>
      <c r="M3" s="121">
        <f t="shared" si="0"/>
        <v>45752</v>
      </c>
      <c r="N3" s="121">
        <f t="shared" si="0"/>
        <v>45753</v>
      </c>
      <c r="O3" s="121">
        <f t="shared" si="0"/>
        <v>45754</v>
      </c>
      <c r="P3" s="121">
        <f t="shared" si="0"/>
        <v>45755</v>
      </c>
      <c r="Q3" s="121">
        <f t="shared" si="0"/>
        <v>45756</v>
      </c>
      <c r="R3" s="121">
        <f t="shared" si="0"/>
        <v>45757</v>
      </c>
      <c r="S3" s="121">
        <f t="shared" si="0"/>
        <v>45758</v>
      </c>
      <c r="T3" s="121">
        <f t="shared" si="0"/>
        <v>45759</v>
      </c>
      <c r="U3" s="121">
        <f t="shared" si="0"/>
        <v>45760</v>
      </c>
      <c r="V3" s="121">
        <f t="shared" si="0"/>
        <v>45761</v>
      </c>
      <c r="W3" s="121">
        <f t="shared" si="0"/>
        <v>45762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Tue</v>
      </c>
      <c r="J4" s="127" t="str">
        <f t="shared" si="1"/>
        <v>Wed</v>
      </c>
      <c r="K4" s="127" t="str">
        <f t="shared" si="1"/>
        <v>Thu</v>
      </c>
      <c r="L4" s="128" t="str">
        <f t="shared" si="1"/>
        <v>Fri</v>
      </c>
      <c r="M4" s="128" t="str">
        <f t="shared" si="1"/>
        <v>Sat</v>
      </c>
      <c r="N4" s="126" t="str">
        <f t="shared" si="1"/>
        <v>Sun</v>
      </c>
      <c r="O4" s="126" t="str">
        <f t="shared" si="1"/>
        <v>Mon</v>
      </c>
      <c r="P4" s="128" t="str">
        <f t="shared" si="1"/>
        <v>Tue</v>
      </c>
      <c r="Q4" s="128" t="str">
        <f t="shared" si="1"/>
        <v>Wed</v>
      </c>
      <c r="R4" s="128" t="str">
        <f t="shared" si="1"/>
        <v>Thu</v>
      </c>
      <c r="S4" s="128" t="str">
        <f t="shared" si="1"/>
        <v>Fri</v>
      </c>
      <c r="T4" s="128" t="str">
        <f t="shared" si="1"/>
        <v>Sat</v>
      </c>
      <c r="U4" s="128" t="str">
        <f t="shared" si="1"/>
        <v>Sun</v>
      </c>
      <c r="V4" s="128" t="str">
        <f t="shared" si="1"/>
        <v>Mon</v>
      </c>
      <c r="W4" s="128" t="str">
        <f t="shared" si="1"/>
        <v>Tue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88</v>
      </c>
      <c r="E5" s="134">
        <f t="shared" ref="E5:E10" si="3">Y5*8</f>
        <v>88</v>
      </c>
      <c r="F5" s="134">
        <f t="shared" ref="F5:F10" si="4">G5+H5</f>
        <v>88</v>
      </c>
      <c r="G5" s="134">
        <f t="shared" ref="G5:G10" si="5">SUM(I5:W5)</f>
        <v>88</v>
      </c>
      <c r="H5" s="135">
        <v>0</v>
      </c>
      <c r="I5" s="180">
        <v>8</v>
      </c>
      <c r="J5" s="180">
        <v>8</v>
      </c>
      <c r="K5" s="180">
        <v>8</v>
      </c>
      <c r="L5" s="180">
        <v>8</v>
      </c>
      <c r="M5" s="199"/>
      <c r="N5" s="199"/>
      <c r="O5" s="180">
        <v>8</v>
      </c>
      <c r="P5" s="180">
        <v>8</v>
      </c>
      <c r="Q5" s="180">
        <v>8</v>
      </c>
      <c r="R5" s="180">
        <v>8</v>
      </c>
      <c r="S5" s="180">
        <v>8</v>
      </c>
      <c r="T5" s="199"/>
      <c r="U5" s="199"/>
      <c r="V5" s="180">
        <v>8</v>
      </c>
      <c r="W5" s="180">
        <v>8</v>
      </c>
      <c r="X5" s="134">
        <f>Y5-COUNTA(I5:W5)</f>
        <v>0</v>
      </c>
      <c r="Y5" s="136">
        <v>11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88</v>
      </c>
      <c r="E6" s="134">
        <f t="shared" si="3"/>
        <v>88</v>
      </c>
      <c r="F6" s="134">
        <f t="shared" si="4"/>
        <v>88</v>
      </c>
      <c r="G6" s="134">
        <f t="shared" si="5"/>
        <v>88</v>
      </c>
      <c r="H6" s="135">
        <v>0</v>
      </c>
      <c r="I6" s="180">
        <v>8</v>
      </c>
      <c r="J6" s="180">
        <v>8</v>
      </c>
      <c r="K6" s="180">
        <v>8</v>
      </c>
      <c r="L6" s="180">
        <v>8</v>
      </c>
      <c r="M6" s="199"/>
      <c r="N6" s="199"/>
      <c r="O6" s="180">
        <v>8</v>
      </c>
      <c r="P6" s="180">
        <v>8</v>
      </c>
      <c r="Q6" s="180">
        <v>8</v>
      </c>
      <c r="R6" s="180">
        <v>8</v>
      </c>
      <c r="S6" s="180">
        <v>8</v>
      </c>
      <c r="T6" s="199"/>
      <c r="U6" s="199"/>
      <c r="V6" s="180">
        <v>8</v>
      </c>
      <c r="W6" s="180">
        <v>8</v>
      </c>
      <c r="X6" s="134">
        <f t="shared" ref="X6:X14" si="6">Y6-COUNTA(I6:W6)</f>
        <v>0</v>
      </c>
      <c r="Y6" s="136">
        <v>11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88</v>
      </c>
      <c r="E7" s="134">
        <f t="shared" si="3"/>
        <v>88</v>
      </c>
      <c r="F7" s="134">
        <f t="shared" si="4"/>
        <v>88</v>
      </c>
      <c r="G7" s="134">
        <f t="shared" si="5"/>
        <v>88</v>
      </c>
      <c r="H7" s="135">
        <v>0</v>
      </c>
      <c r="I7" s="180">
        <v>8</v>
      </c>
      <c r="J7" s="180">
        <v>8</v>
      </c>
      <c r="K7" s="180">
        <v>8</v>
      </c>
      <c r="L7" s="180">
        <v>8</v>
      </c>
      <c r="M7" s="199"/>
      <c r="N7" s="199"/>
      <c r="O7" s="180">
        <v>8</v>
      </c>
      <c r="P7" s="180">
        <v>8</v>
      </c>
      <c r="Q7" s="180">
        <v>8</v>
      </c>
      <c r="R7" s="180">
        <v>8</v>
      </c>
      <c r="S7" s="180">
        <v>8</v>
      </c>
      <c r="T7" s="199"/>
      <c r="U7" s="199"/>
      <c r="V7" s="180">
        <v>8</v>
      </c>
      <c r="W7" s="180">
        <v>8</v>
      </c>
      <c r="X7" s="134">
        <f t="shared" si="6"/>
        <v>0</v>
      </c>
      <c r="Y7" s="136">
        <v>11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88</v>
      </c>
      <c r="E8" s="134">
        <f t="shared" si="3"/>
        <v>88</v>
      </c>
      <c r="F8" s="134">
        <f t="shared" si="4"/>
        <v>88</v>
      </c>
      <c r="G8" s="134">
        <f t="shared" si="5"/>
        <v>88</v>
      </c>
      <c r="H8" s="135">
        <v>0</v>
      </c>
      <c r="I8" s="180">
        <v>8</v>
      </c>
      <c r="J8" s="180">
        <v>8</v>
      </c>
      <c r="K8" s="180">
        <v>8</v>
      </c>
      <c r="L8" s="180">
        <v>8</v>
      </c>
      <c r="M8" s="199"/>
      <c r="N8" s="199"/>
      <c r="O8" s="180">
        <v>8</v>
      </c>
      <c r="P8" s="180">
        <v>8</v>
      </c>
      <c r="Q8" s="180">
        <v>8</v>
      </c>
      <c r="R8" s="180">
        <v>8</v>
      </c>
      <c r="S8" s="180">
        <v>8</v>
      </c>
      <c r="T8" s="199"/>
      <c r="U8" s="199"/>
      <c r="V8" s="180">
        <v>8</v>
      </c>
      <c r="W8" s="180">
        <v>8</v>
      </c>
      <c r="X8" s="134">
        <f t="shared" si="6"/>
        <v>0</v>
      </c>
      <c r="Y8" s="136">
        <v>11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88</v>
      </c>
      <c r="E9" s="134">
        <f t="shared" si="3"/>
        <v>88</v>
      </c>
      <c r="F9" s="134">
        <f t="shared" si="4"/>
        <v>80</v>
      </c>
      <c r="G9" s="134">
        <f t="shared" si="5"/>
        <v>80</v>
      </c>
      <c r="H9" s="135">
        <v>0</v>
      </c>
      <c r="I9" s="180">
        <v>8</v>
      </c>
      <c r="J9" s="180">
        <v>8</v>
      </c>
      <c r="K9" s="180">
        <v>8</v>
      </c>
      <c r="L9" s="180">
        <v>8</v>
      </c>
      <c r="M9" s="199"/>
      <c r="N9" s="199"/>
      <c r="O9" s="180">
        <v>8</v>
      </c>
      <c r="P9" s="180">
        <v>8</v>
      </c>
      <c r="Q9" s="180">
        <v>8</v>
      </c>
      <c r="R9" s="180">
        <v>8</v>
      </c>
      <c r="S9" s="186"/>
      <c r="T9" s="199"/>
      <c r="U9" s="199"/>
      <c r="V9" s="180">
        <v>8</v>
      </c>
      <c r="W9" s="180">
        <v>8</v>
      </c>
      <c r="X9" s="134">
        <f t="shared" si="6"/>
        <v>1</v>
      </c>
      <c r="Y9" s="136">
        <v>11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88</v>
      </c>
      <c r="E10" s="134">
        <f t="shared" si="3"/>
        <v>88</v>
      </c>
      <c r="F10" s="134">
        <f t="shared" si="4"/>
        <v>88</v>
      </c>
      <c r="G10" s="134">
        <f t="shared" si="5"/>
        <v>88</v>
      </c>
      <c r="H10" s="135">
        <v>0</v>
      </c>
      <c r="I10" s="180">
        <v>8</v>
      </c>
      <c r="J10" s="180">
        <v>8</v>
      </c>
      <c r="K10" s="180">
        <v>8</v>
      </c>
      <c r="L10" s="180">
        <v>8</v>
      </c>
      <c r="M10" s="199"/>
      <c r="N10" s="199"/>
      <c r="O10" s="180">
        <v>8</v>
      </c>
      <c r="P10" s="180">
        <v>8</v>
      </c>
      <c r="Q10" s="180">
        <v>8</v>
      </c>
      <c r="R10" s="180">
        <v>8</v>
      </c>
      <c r="S10" s="181">
        <v>8</v>
      </c>
      <c r="T10" s="204"/>
      <c r="U10" s="205"/>
      <c r="V10" s="180">
        <v>8</v>
      </c>
      <c r="W10" s="180">
        <v>8</v>
      </c>
      <c r="X10" s="134">
        <f t="shared" si="6"/>
        <v>0</v>
      </c>
      <c r="Y10" s="136">
        <v>11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528</v>
      </c>
      <c r="E15" s="189">
        <f t="shared" si="8"/>
        <v>528</v>
      </c>
      <c r="F15" s="189">
        <f t="shared" si="8"/>
        <v>520</v>
      </c>
      <c r="G15" s="189">
        <f t="shared" si="8"/>
        <v>520</v>
      </c>
      <c r="H15" s="189">
        <f t="shared" si="8"/>
        <v>0</v>
      </c>
      <c r="I15" s="189">
        <f t="shared" si="8"/>
        <v>48</v>
      </c>
      <c r="J15" s="189">
        <f t="shared" si="8"/>
        <v>48</v>
      </c>
      <c r="K15" s="189">
        <f t="shared" si="8"/>
        <v>48</v>
      </c>
      <c r="L15" s="189">
        <f t="shared" si="8"/>
        <v>48</v>
      </c>
      <c r="M15" s="189">
        <f t="shared" si="8"/>
        <v>0</v>
      </c>
      <c r="N15" s="189">
        <f t="shared" si="8"/>
        <v>0</v>
      </c>
      <c r="O15" s="189">
        <f t="shared" si="8"/>
        <v>48</v>
      </c>
      <c r="P15" s="189">
        <f t="shared" si="8"/>
        <v>48</v>
      </c>
      <c r="Q15" s="189">
        <f t="shared" si="8"/>
        <v>48</v>
      </c>
      <c r="R15" s="189">
        <f t="shared" si="8"/>
        <v>48</v>
      </c>
      <c r="S15" s="189">
        <f t="shared" si="8"/>
        <v>40</v>
      </c>
      <c r="T15" s="189">
        <f t="shared" si="8"/>
        <v>0</v>
      </c>
      <c r="U15" s="189">
        <f t="shared" si="8"/>
        <v>0</v>
      </c>
      <c r="V15" s="189">
        <f t="shared" si="8"/>
        <v>48</v>
      </c>
      <c r="W15" s="189">
        <f t="shared" si="8"/>
        <v>48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45763</v>
      </c>
      <c r="J18" s="141">
        <f t="shared" ref="J18:W18" si="9">I18+1</f>
        <v>45764</v>
      </c>
      <c r="K18" s="141">
        <f t="shared" si="9"/>
        <v>45765</v>
      </c>
      <c r="L18" s="121">
        <f t="shared" si="9"/>
        <v>45766</v>
      </c>
      <c r="M18" s="141">
        <f t="shared" si="9"/>
        <v>45767</v>
      </c>
      <c r="N18" s="141">
        <f t="shared" si="9"/>
        <v>45768</v>
      </c>
      <c r="O18" s="141">
        <f t="shared" si="9"/>
        <v>45769</v>
      </c>
      <c r="P18" s="141">
        <f t="shared" si="9"/>
        <v>45770</v>
      </c>
      <c r="Q18" s="141">
        <f t="shared" si="9"/>
        <v>45771</v>
      </c>
      <c r="R18" s="141">
        <f t="shared" si="9"/>
        <v>45772</v>
      </c>
      <c r="S18" s="141">
        <f t="shared" si="9"/>
        <v>45773</v>
      </c>
      <c r="T18" s="141">
        <f t="shared" si="9"/>
        <v>45774</v>
      </c>
      <c r="U18" s="141">
        <f t="shared" si="9"/>
        <v>45775</v>
      </c>
      <c r="V18" s="141">
        <f t="shared" si="9"/>
        <v>45776</v>
      </c>
      <c r="W18" s="141">
        <f t="shared" si="9"/>
        <v>45777</v>
      </c>
      <c r="X18" s="141"/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W19" si="10">IF(I18="","",TEXT(WEEKDAY(I18), "ddd"))</f>
        <v>Wed</v>
      </c>
      <c r="J19" s="128" t="str">
        <f t="shared" si="10"/>
        <v>Thu</v>
      </c>
      <c r="K19" s="128" t="str">
        <f t="shared" si="10"/>
        <v>Fri</v>
      </c>
      <c r="L19" s="128" t="str">
        <f t="shared" si="10"/>
        <v>Sat</v>
      </c>
      <c r="M19" s="128" t="str">
        <f t="shared" si="10"/>
        <v>Sun</v>
      </c>
      <c r="N19" s="128" t="str">
        <f t="shared" si="10"/>
        <v>Mon</v>
      </c>
      <c r="O19" s="128" t="str">
        <f t="shared" si="10"/>
        <v>Tue</v>
      </c>
      <c r="P19" s="127" t="str">
        <f t="shared" si="10"/>
        <v>Wed</v>
      </c>
      <c r="Q19" s="127" t="str">
        <f t="shared" si="10"/>
        <v>Thu</v>
      </c>
      <c r="R19" s="128" t="str">
        <f t="shared" si="10"/>
        <v>Fri</v>
      </c>
      <c r="S19" s="128" t="str">
        <f t="shared" si="10"/>
        <v>Sat</v>
      </c>
      <c r="T19" s="128" t="str">
        <f t="shared" si="10"/>
        <v>Sun</v>
      </c>
      <c r="U19" s="128" t="str">
        <f t="shared" si="10"/>
        <v>Mon</v>
      </c>
      <c r="V19" s="128" t="str">
        <f t="shared" si="10"/>
        <v>Tue</v>
      </c>
      <c r="W19" s="127" t="str">
        <f t="shared" si="10"/>
        <v>Wed</v>
      </c>
      <c r="X19" s="127"/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88</v>
      </c>
      <c r="E20" s="134">
        <f t="shared" ref="E20:E25" si="12">Z20*8</f>
        <v>88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80">
        <v>8</v>
      </c>
      <c r="J20" s="186"/>
      <c r="K20" s="180">
        <v>8</v>
      </c>
      <c r="L20" s="199"/>
      <c r="M20" s="199"/>
      <c r="N20" s="180">
        <v>8</v>
      </c>
      <c r="O20" s="180">
        <v>8</v>
      </c>
      <c r="P20" s="180">
        <v>8</v>
      </c>
      <c r="Q20" s="180">
        <v>8</v>
      </c>
      <c r="R20" s="180">
        <v>8</v>
      </c>
      <c r="S20" s="199"/>
      <c r="T20" s="199"/>
      <c r="U20" s="180">
        <v>8</v>
      </c>
      <c r="V20" s="203">
        <v>8</v>
      </c>
      <c r="W20" s="180">
        <v>8</v>
      </c>
      <c r="X20" s="180"/>
      <c r="Y20" s="134">
        <f t="shared" ref="Y20:Y25" si="15">Z20-COUNTA(I20:X20)</f>
        <v>1</v>
      </c>
      <c r="Z20" s="136">
        <v>11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88</v>
      </c>
      <c r="E21" s="134">
        <f t="shared" si="12"/>
        <v>88</v>
      </c>
      <c r="F21" s="134">
        <f t="shared" si="13"/>
        <v>88</v>
      </c>
      <c r="G21" s="134">
        <f t="shared" si="14"/>
        <v>88</v>
      </c>
      <c r="H21" s="135">
        <v>0</v>
      </c>
      <c r="I21" s="180">
        <v>8</v>
      </c>
      <c r="J21" s="180">
        <v>8</v>
      </c>
      <c r="K21" s="180">
        <v>8</v>
      </c>
      <c r="L21" s="199"/>
      <c r="M21" s="199"/>
      <c r="N21" s="180">
        <v>8</v>
      </c>
      <c r="O21" s="180">
        <v>8</v>
      </c>
      <c r="P21" s="180">
        <v>8</v>
      </c>
      <c r="Q21" s="180">
        <v>8</v>
      </c>
      <c r="R21" s="183">
        <v>8</v>
      </c>
      <c r="S21" s="199"/>
      <c r="T21" s="199"/>
      <c r="U21" s="180">
        <v>8</v>
      </c>
      <c r="V21" s="203">
        <v>8</v>
      </c>
      <c r="W21" s="180">
        <v>8</v>
      </c>
      <c r="X21" s="180"/>
      <c r="Y21" s="134">
        <f t="shared" si="15"/>
        <v>0</v>
      </c>
      <c r="Z21" s="136">
        <v>11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88</v>
      </c>
      <c r="E22" s="134">
        <f t="shared" si="12"/>
        <v>88</v>
      </c>
      <c r="F22" s="134">
        <f t="shared" si="13"/>
        <v>88</v>
      </c>
      <c r="G22" s="134">
        <f t="shared" si="14"/>
        <v>88</v>
      </c>
      <c r="H22" s="135">
        <v>0</v>
      </c>
      <c r="I22" s="180">
        <v>8</v>
      </c>
      <c r="J22" s="180">
        <v>8</v>
      </c>
      <c r="K22" s="180">
        <v>8</v>
      </c>
      <c r="L22" s="199"/>
      <c r="M22" s="199"/>
      <c r="N22" s="180">
        <v>8</v>
      </c>
      <c r="O22" s="180">
        <v>8</v>
      </c>
      <c r="P22" s="180">
        <v>8</v>
      </c>
      <c r="Q22" s="180">
        <v>8</v>
      </c>
      <c r="R22" s="180">
        <v>8</v>
      </c>
      <c r="S22" s="199"/>
      <c r="T22" s="199"/>
      <c r="U22" s="180">
        <v>8</v>
      </c>
      <c r="V22" s="203">
        <v>8</v>
      </c>
      <c r="W22" s="180">
        <v>8</v>
      </c>
      <c r="X22" s="180"/>
      <c r="Y22" s="134">
        <f t="shared" si="15"/>
        <v>0</v>
      </c>
      <c r="Z22" s="136">
        <v>11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88</v>
      </c>
      <c r="E23" s="134">
        <f t="shared" si="12"/>
        <v>88</v>
      </c>
      <c r="F23" s="134">
        <f t="shared" si="13"/>
        <v>72</v>
      </c>
      <c r="G23" s="134">
        <f t="shared" si="14"/>
        <v>72</v>
      </c>
      <c r="H23" s="135">
        <v>0</v>
      </c>
      <c r="I23" s="180">
        <v>8</v>
      </c>
      <c r="J23" s="186"/>
      <c r="K23" s="186"/>
      <c r="L23" s="199"/>
      <c r="M23" s="199"/>
      <c r="N23" s="180">
        <v>8</v>
      </c>
      <c r="O23" s="180">
        <v>8</v>
      </c>
      <c r="P23" s="180">
        <v>8</v>
      </c>
      <c r="Q23" s="180">
        <v>8</v>
      </c>
      <c r="R23" s="183">
        <v>8</v>
      </c>
      <c r="S23" s="199"/>
      <c r="T23" s="199"/>
      <c r="U23" s="180">
        <v>8</v>
      </c>
      <c r="V23" s="203">
        <v>8</v>
      </c>
      <c r="W23" s="180">
        <v>8</v>
      </c>
      <c r="X23" s="186"/>
      <c r="Y23" s="134">
        <f t="shared" si="15"/>
        <v>2</v>
      </c>
      <c r="Z23" s="136">
        <v>11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88</v>
      </c>
      <c r="E24" s="134">
        <f t="shared" si="12"/>
        <v>88</v>
      </c>
      <c r="F24" s="134">
        <f t="shared" si="13"/>
        <v>88</v>
      </c>
      <c r="G24" s="134">
        <f t="shared" si="14"/>
        <v>88</v>
      </c>
      <c r="H24" s="135">
        <v>0</v>
      </c>
      <c r="I24" s="180">
        <v>8</v>
      </c>
      <c r="J24" s="180">
        <v>8</v>
      </c>
      <c r="K24" s="180">
        <v>8</v>
      </c>
      <c r="L24" s="199"/>
      <c r="M24" s="199"/>
      <c r="N24" s="180">
        <v>8</v>
      </c>
      <c r="O24" s="180">
        <v>8</v>
      </c>
      <c r="P24" s="180">
        <v>8</v>
      </c>
      <c r="Q24" s="180">
        <v>8</v>
      </c>
      <c r="R24" s="180">
        <v>8</v>
      </c>
      <c r="S24" s="199"/>
      <c r="T24" s="199"/>
      <c r="U24" s="180">
        <v>8</v>
      </c>
      <c r="V24" s="203">
        <v>8</v>
      </c>
      <c r="W24" s="180">
        <v>8</v>
      </c>
      <c r="X24" s="180"/>
      <c r="Y24" s="134">
        <f t="shared" si="15"/>
        <v>0</v>
      </c>
      <c r="Z24" s="136">
        <v>11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88</v>
      </c>
      <c r="E25" s="134">
        <f t="shared" si="12"/>
        <v>88</v>
      </c>
      <c r="F25" s="134">
        <f t="shared" si="13"/>
        <v>80</v>
      </c>
      <c r="G25" s="134">
        <f t="shared" si="14"/>
        <v>80</v>
      </c>
      <c r="H25" s="135">
        <v>0</v>
      </c>
      <c r="I25" s="180">
        <v>8</v>
      </c>
      <c r="J25" s="180">
        <v>8</v>
      </c>
      <c r="K25" s="180">
        <v>8</v>
      </c>
      <c r="L25" s="199"/>
      <c r="M25" s="199"/>
      <c r="N25" s="183">
        <v>8</v>
      </c>
      <c r="O25" s="183">
        <v>8</v>
      </c>
      <c r="P25" s="183">
        <v>8</v>
      </c>
      <c r="Q25" s="180">
        <v>8</v>
      </c>
      <c r="R25" s="183">
        <v>8</v>
      </c>
      <c r="S25" s="200"/>
      <c r="T25" s="200"/>
      <c r="U25" s="186"/>
      <c r="V25" s="183">
        <v>8</v>
      </c>
      <c r="W25" s="180">
        <v>8</v>
      </c>
      <c r="X25" s="180"/>
      <c r="Y25" s="134">
        <f t="shared" si="15"/>
        <v>1</v>
      </c>
      <c r="Z25" s="136">
        <v>11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528</v>
      </c>
      <c r="E30" s="189">
        <f t="shared" si="16"/>
        <v>528</v>
      </c>
      <c r="F30" s="189">
        <f t="shared" si="16"/>
        <v>496</v>
      </c>
      <c r="G30" s="189">
        <f t="shared" si="16"/>
        <v>496</v>
      </c>
      <c r="H30" s="189">
        <f t="shared" si="16"/>
        <v>0</v>
      </c>
      <c r="I30" s="189">
        <f t="shared" si="16"/>
        <v>48</v>
      </c>
      <c r="J30" s="189">
        <f t="shared" si="16"/>
        <v>32</v>
      </c>
      <c r="K30" s="189">
        <f t="shared" si="16"/>
        <v>40</v>
      </c>
      <c r="L30" s="189">
        <f t="shared" si="16"/>
        <v>0</v>
      </c>
      <c r="M30" s="189">
        <f t="shared" si="16"/>
        <v>0</v>
      </c>
      <c r="N30" s="189">
        <f t="shared" si="16"/>
        <v>48</v>
      </c>
      <c r="O30" s="189">
        <f t="shared" si="16"/>
        <v>48</v>
      </c>
      <c r="P30" s="189">
        <f t="shared" si="16"/>
        <v>48</v>
      </c>
      <c r="Q30" s="189">
        <f t="shared" si="16"/>
        <v>48</v>
      </c>
      <c r="R30" s="189">
        <f t="shared" si="16"/>
        <v>48</v>
      </c>
      <c r="S30" s="189">
        <f t="shared" si="16"/>
        <v>0</v>
      </c>
      <c r="T30" s="189">
        <f t="shared" si="16"/>
        <v>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168</v>
      </c>
      <c r="C34" s="154">
        <f t="shared" ref="C34:C39" si="17">E5+E20</f>
        <v>176</v>
      </c>
      <c r="D34" s="155">
        <f t="shared" ref="D34:D39" si="18">B34</f>
        <v>168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176</v>
      </c>
      <c r="C35" s="154">
        <f t="shared" si="17"/>
        <v>176</v>
      </c>
      <c r="D35" s="155">
        <f t="shared" si="18"/>
        <v>176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176</v>
      </c>
      <c r="C36" s="154">
        <f t="shared" si="17"/>
        <v>176</v>
      </c>
      <c r="D36" s="155">
        <f t="shared" si="18"/>
        <v>176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176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168</v>
      </c>
      <c r="C38" s="159">
        <f t="shared" si="17"/>
        <v>176</v>
      </c>
      <c r="D38" s="160">
        <f t="shared" si="18"/>
        <v>168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168</v>
      </c>
      <c r="C39" s="159">
        <f t="shared" si="17"/>
        <v>176</v>
      </c>
      <c r="D39" s="160">
        <f t="shared" si="18"/>
        <v>168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11</v>
      </c>
      <c r="C48" s="168">
        <f>B48*8</f>
        <v>88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11</v>
      </c>
      <c r="C50" s="173">
        <f t="shared" si="20"/>
        <v>88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0</v>
      </c>
      <c r="C56" s="171">
        <f t="shared" si="21"/>
        <v>0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11</v>
      </c>
      <c r="C57" s="173">
        <f t="shared" si="22"/>
        <v>88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176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59B8-BAEA-476B-94F6-CEE91AA08963}">
  <sheetPr>
    <tabColor theme="8"/>
  </sheetPr>
  <dimension ref="A1:AI997"/>
  <sheetViews>
    <sheetView showGridLines="0" workbookViewId="0">
      <pane xSplit="2" topLeftCell="C1" activePane="topRight" state="frozen"/>
      <selection pane="topRight" activeCell="U21" sqref="U21"/>
    </sheetView>
  </sheetViews>
  <sheetFormatPr defaultColWidth="12.453125" defaultRowHeight="15.75" customHeight="1"/>
  <cols>
    <col min="1" max="1" width="28.1796875" style="115" customWidth="1"/>
    <col min="2" max="2" width="11.81640625" style="115" customWidth="1"/>
    <col min="3" max="3" width="17" style="115" customWidth="1"/>
    <col min="4" max="4" width="10.453125" style="115" customWidth="1"/>
    <col min="5" max="5" width="8.453125" style="115" customWidth="1"/>
    <col min="6" max="6" width="7.453125" style="115" customWidth="1"/>
    <col min="7" max="7" width="9.453125" style="115" customWidth="1"/>
    <col min="8" max="8" width="9" style="115" customWidth="1"/>
    <col min="9" max="9" width="6.81640625" style="115" customWidth="1"/>
    <col min="10" max="11" width="6.453125" style="115" customWidth="1"/>
    <col min="12" max="12" width="5.81640625" style="115" customWidth="1"/>
    <col min="13" max="14" width="6.453125" style="115" customWidth="1"/>
    <col min="15" max="15" width="6.1796875" style="115" customWidth="1"/>
    <col min="16" max="16" width="6.36328125" style="115" customWidth="1"/>
    <col min="17" max="20" width="6.453125" style="115" customWidth="1"/>
    <col min="21" max="21" width="6.6328125" style="115" customWidth="1"/>
    <col min="22" max="22" width="6.36328125" style="115" customWidth="1"/>
    <col min="23" max="23" width="6.453125" style="115" customWidth="1"/>
    <col min="24" max="24" width="9.36328125" style="115" customWidth="1"/>
    <col min="25" max="25" width="9.453125" style="115" customWidth="1"/>
    <col min="26" max="26" width="9.36328125" style="115" customWidth="1"/>
    <col min="27" max="27" width="8.6328125" style="115" customWidth="1"/>
    <col min="28" max="28" width="15.36328125" style="115" customWidth="1"/>
    <col min="29" max="29" width="14" style="115" customWidth="1"/>
    <col min="30" max="30" width="7.453125" style="115" customWidth="1"/>
    <col min="31" max="31" width="17.6328125" style="115" customWidth="1"/>
    <col min="32" max="35" width="7.453125" style="115" customWidth="1"/>
    <col min="36" max="16384" width="12.453125" style="115"/>
  </cols>
  <sheetData>
    <row r="1" spans="1:35" ht="15.75" customHeight="1">
      <c r="A1" s="107"/>
      <c r="B1" s="108"/>
      <c r="C1" s="109">
        <v>45717</v>
      </c>
      <c r="D1" s="110"/>
      <c r="E1" s="111"/>
      <c r="F1" s="111"/>
      <c r="G1" s="111"/>
      <c r="H1" s="111"/>
      <c r="I1" s="111"/>
      <c r="J1" s="112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3"/>
      <c r="AB1" s="111"/>
      <c r="AC1" s="114"/>
    </row>
    <row r="2" spans="1:35" ht="15" customHeight="1">
      <c r="A2" s="116" t="s">
        <v>0</v>
      </c>
      <c r="B2" s="117"/>
      <c r="C2" s="117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9"/>
      <c r="AB2" s="120"/>
      <c r="AC2" s="114"/>
    </row>
    <row r="3" spans="1:35" ht="35.25" customHeight="1">
      <c r="A3" s="252" t="s">
        <v>1</v>
      </c>
      <c r="B3" s="252" t="s">
        <v>2</v>
      </c>
      <c r="C3" s="252" t="s">
        <v>3</v>
      </c>
      <c r="D3" s="252" t="s">
        <v>4</v>
      </c>
      <c r="E3" s="257" t="s">
        <v>5</v>
      </c>
      <c r="F3" s="258"/>
      <c r="G3" s="258"/>
      <c r="H3" s="259"/>
      <c r="I3" s="121">
        <f>C1</f>
        <v>45717</v>
      </c>
      <c r="J3" s="121">
        <f t="shared" ref="J3:W3" si="0">I3+1</f>
        <v>45718</v>
      </c>
      <c r="K3" s="121">
        <f t="shared" si="0"/>
        <v>45719</v>
      </c>
      <c r="L3" s="121">
        <f t="shared" si="0"/>
        <v>45720</v>
      </c>
      <c r="M3" s="121">
        <f t="shared" si="0"/>
        <v>45721</v>
      </c>
      <c r="N3" s="121">
        <f t="shared" si="0"/>
        <v>45722</v>
      </c>
      <c r="O3" s="121">
        <f t="shared" si="0"/>
        <v>45723</v>
      </c>
      <c r="P3" s="121">
        <f t="shared" si="0"/>
        <v>45724</v>
      </c>
      <c r="Q3" s="121">
        <f t="shared" si="0"/>
        <v>45725</v>
      </c>
      <c r="R3" s="121">
        <f t="shared" si="0"/>
        <v>45726</v>
      </c>
      <c r="S3" s="121">
        <f t="shared" si="0"/>
        <v>45727</v>
      </c>
      <c r="T3" s="121">
        <f t="shared" si="0"/>
        <v>45728</v>
      </c>
      <c r="U3" s="121">
        <f t="shared" si="0"/>
        <v>45729</v>
      </c>
      <c r="V3" s="121">
        <f t="shared" si="0"/>
        <v>45730</v>
      </c>
      <c r="W3" s="121">
        <f t="shared" si="0"/>
        <v>45731</v>
      </c>
      <c r="X3" s="252" t="s">
        <v>6</v>
      </c>
      <c r="Y3" s="252" t="s">
        <v>7</v>
      </c>
      <c r="Z3" s="120"/>
      <c r="AA3" s="114"/>
      <c r="AB3" s="114"/>
    </row>
    <row r="4" spans="1:35" ht="27" customHeight="1">
      <c r="A4" s="253"/>
      <c r="B4" s="253"/>
      <c r="C4" s="253"/>
      <c r="D4" s="253"/>
      <c r="E4" s="122" t="s">
        <v>8</v>
      </c>
      <c r="F4" s="123" t="s">
        <v>9</v>
      </c>
      <c r="G4" s="124" t="s">
        <v>10</v>
      </c>
      <c r="H4" s="125" t="s">
        <v>11</v>
      </c>
      <c r="I4" s="126" t="str">
        <f t="shared" ref="I4:W4" si="1">IF(I3="","",TEXT(WEEKDAY(I3), "ddd"))</f>
        <v>Sat</v>
      </c>
      <c r="J4" s="127" t="str">
        <f t="shared" si="1"/>
        <v>Sun</v>
      </c>
      <c r="K4" s="127" t="str">
        <f t="shared" si="1"/>
        <v>Mon</v>
      </c>
      <c r="L4" s="128" t="str">
        <f t="shared" si="1"/>
        <v>Tue</v>
      </c>
      <c r="M4" s="128" t="str">
        <f t="shared" si="1"/>
        <v>Wed</v>
      </c>
      <c r="N4" s="126" t="str">
        <f t="shared" si="1"/>
        <v>Thu</v>
      </c>
      <c r="O4" s="126" t="str">
        <f t="shared" si="1"/>
        <v>Fri</v>
      </c>
      <c r="P4" s="128" t="str">
        <f t="shared" si="1"/>
        <v>Sat</v>
      </c>
      <c r="Q4" s="128" t="str">
        <f t="shared" si="1"/>
        <v>Sun</v>
      </c>
      <c r="R4" s="128" t="str">
        <f t="shared" si="1"/>
        <v>Mon</v>
      </c>
      <c r="S4" s="128" t="str">
        <f t="shared" si="1"/>
        <v>Tue</v>
      </c>
      <c r="T4" s="128" t="str">
        <f t="shared" si="1"/>
        <v>Wed</v>
      </c>
      <c r="U4" s="128" t="str">
        <f t="shared" si="1"/>
        <v>Thu</v>
      </c>
      <c r="V4" s="128" t="str">
        <f t="shared" si="1"/>
        <v>Fri</v>
      </c>
      <c r="W4" s="128" t="str">
        <f t="shared" si="1"/>
        <v>Sat</v>
      </c>
      <c r="X4" s="253"/>
      <c r="Y4" s="253"/>
      <c r="Z4" s="120"/>
      <c r="AA4" s="129" t="s">
        <v>12</v>
      </c>
      <c r="AB4" s="130"/>
      <c r="AC4" s="130"/>
      <c r="AD4" s="130"/>
      <c r="AE4" s="130"/>
      <c r="AF4" s="130"/>
      <c r="AG4" s="130"/>
    </row>
    <row r="5" spans="1:35" ht="12.75" customHeight="1">
      <c r="A5" s="131" t="s">
        <v>13</v>
      </c>
      <c r="B5" s="132" t="s">
        <v>14</v>
      </c>
      <c r="C5" s="133">
        <v>43437</v>
      </c>
      <c r="D5" s="134">
        <f t="shared" ref="D5:D10" si="2">E5</f>
        <v>80</v>
      </c>
      <c r="E5" s="134">
        <f t="shared" ref="E5:E10" si="3">Y5*8</f>
        <v>80</v>
      </c>
      <c r="F5" s="134">
        <f t="shared" ref="F5:F10" si="4">G5+H5</f>
        <v>80</v>
      </c>
      <c r="G5" s="134">
        <f t="shared" ref="G5:G10" si="5">SUM(I5:W5)</f>
        <v>80</v>
      </c>
      <c r="H5" s="135">
        <v>0</v>
      </c>
      <c r="I5" s="199"/>
      <c r="J5" s="199"/>
      <c r="K5" s="180">
        <v>8</v>
      </c>
      <c r="L5" s="180">
        <v>8</v>
      </c>
      <c r="M5" s="180">
        <v>8</v>
      </c>
      <c r="N5" s="180">
        <v>8</v>
      </c>
      <c r="O5" s="180">
        <v>8</v>
      </c>
      <c r="P5" s="199"/>
      <c r="Q5" s="199"/>
      <c r="R5" s="180">
        <v>8</v>
      </c>
      <c r="S5" s="180">
        <v>8</v>
      </c>
      <c r="T5" s="180">
        <v>8</v>
      </c>
      <c r="U5" s="180">
        <v>8</v>
      </c>
      <c r="V5" s="180">
        <v>8</v>
      </c>
      <c r="W5" s="199"/>
      <c r="X5" s="134">
        <f>Y5-COUNTA(I5:W5)</f>
        <v>0</v>
      </c>
      <c r="Y5" s="136">
        <v>10</v>
      </c>
      <c r="Z5" s="120"/>
      <c r="AA5" s="137" t="s">
        <v>15</v>
      </c>
      <c r="AB5" s="130"/>
      <c r="AC5" s="130"/>
      <c r="AD5" s="130"/>
      <c r="AE5" s="130"/>
      <c r="AF5" s="130"/>
      <c r="AG5" s="130"/>
    </row>
    <row r="6" spans="1:35" ht="12.75" customHeight="1">
      <c r="A6" s="131" t="s">
        <v>16</v>
      </c>
      <c r="B6" s="132" t="s">
        <v>14</v>
      </c>
      <c r="C6" s="133">
        <v>45028</v>
      </c>
      <c r="D6" s="134">
        <f t="shared" si="2"/>
        <v>80</v>
      </c>
      <c r="E6" s="134">
        <f t="shared" si="3"/>
        <v>80</v>
      </c>
      <c r="F6" s="134">
        <f t="shared" si="4"/>
        <v>80</v>
      </c>
      <c r="G6" s="134">
        <f t="shared" si="5"/>
        <v>80</v>
      </c>
      <c r="H6" s="135">
        <v>0</v>
      </c>
      <c r="I6" s="199"/>
      <c r="J6" s="199"/>
      <c r="K6" s="180">
        <v>8</v>
      </c>
      <c r="L6" s="180">
        <v>8</v>
      </c>
      <c r="M6" s="180">
        <v>8</v>
      </c>
      <c r="N6" s="180">
        <v>8</v>
      </c>
      <c r="O6" s="180">
        <v>8</v>
      </c>
      <c r="P6" s="199"/>
      <c r="Q6" s="199"/>
      <c r="R6" s="180">
        <v>8</v>
      </c>
      <c r="S6" s="180">
        <v>8</v>
      </c>
      <c r="T6" s="180">
        <v>8</v>
      </c>
      <c r="U6" s="180">
        <v>8</v>
      </c>
      <c r="V6" s="180">
        <v>8</v>
      </c>
      <c r="W6" s="199"/>
      <c r="X6" s="134">
        <f t="shared" ref="X6:X14" si="6">Y6-COUNTA(I6:W6)</f>
        <v>0</v>
      </c>
      <c r="Y6" s="136">
        <v>10</v>
      </c>
      <c r="Z6" s="120"/>
      <c r="AA6" s="184" t="s">
        <v>6</v>
      </c>
      <c r="AB6" s="130"/>
      <c r="AC6" s="130"/>
      <c r="AD6" s="130"/>
      <c r="AE6" s="130"/>
      <c r="AF6" s="130"/>
      <c r="AG6" s="130"/>
    </row>
    <row r="7" spans="1:35" ht="12.75" customHeight="1">
      <c r="A7" s="131" t="s">
        <v>17</v>
      </c>
      <c r="B7" s="132" t="s">
        <v>14</v>
      </c>
      <c r="C7" s="133">
        <v>43395</v>
      </c>
      <c r="D7" s="134">
        <f t="shared" si="2"/>
        <v>80</v>
      </c>
      <c r="E7" s="134">
        <f t="shared" si="3"/>
        <v>80</v>
      </c>
      <c r="F7" s="134">
        <f t="shared" si="4"/>
        <v>72</v>
      </c>
      <c r="G7" s="134">
        <f t="shared" si="5"/>
        <v>72</v>
      </c>
      <c r="H7" s="135">
        <v>0</v>
      </c>
      <c r="I7" s="199"/>
      <c r="J7" s="199"/>
      <c r="K7" s="180">
        <v>8</v>
      </c>
      <c r="L7" s="180">
        <v>8</v>
      </c>
      <c r="M7" s="180">
        <v>8</v>
      </c>
      <c r="N7" s="180">
        <v>8</v>
      </c>
      <c r="O7" s="180">
        <v>8</v>
      </c>
      <c r="P7" s="199"/>
      <c r="Q7" s="199"/>
      <c r="R7" s="186"/>
      <c r="S7" s="180">
        <v>8</v>
      </c>
      <c r="T7" s="180">
        <v>8</v>
      </c>
      <c r="U7" s="180">
        <v>8</v>
      </c>
      <c r="V7" s="180">
        <v>8</v>
      </c>
      <c r="W7" s="199"/>
      <c r="X7" s="134">
        <f t="shared" si="6"/>
        <v>1</v>
      </c>
      <c r="Y7" s="136">
        <v>10</v>
      </c>
      <c r="Z7" s="120"/>
      <c r="AA7" s="202" t="s">
        <v>18</v>
      </c>
      <c r="AB7" s="130"/>
      <c r="AC7" s="130"/>
      <c r="AD7" s="130"/>
      <c r="AE7" s="130"/>
      <c r="AF7" s="130"/>
      <c r="AG7" s="130"/>
    </row>
    <row r="8" spans="1:35" ht="12.75" customHeight="1">
      <c r="A8" s="131" t="s">
        <v>19</v>
      </c>
      <c r="B8" s="132" t="s">
        <v>14</v>
      </c>
      <c r="C8" s="138">
        <v>43741</v>
      </c>
      <c r="D8" s="134">
        <f t="shared" si="2"/>
        <v>80</v>
      </c>
      <c r="E8" s="134">
        <f t="shared" si="3"/>
        <v>80</v>
      </c>
      <c r="F8" s="134">
        <f t="shared" si="4"/>
        <v>80</v>
      </c>
      <c r="G8" s="134">
        <f t="shared" si="5"/>
        <v>80</v>
      </c>
      <c r="H8" s="135">
        <v>0</v>
      </c>
      <c r="I8" s="199"/>
      <c r="J8" s="199"/>
      <c r="K8" s="180">
        <v>8</v>
      </c>
      <c r="L8" s="180">
        <v>8</v>
      </c>
      <c r="M8" s="180">
        <v>8</v>
      </c>
      <c r="N8" s="180">
        <v>8</v>
      </c>
      <c r="O8" s="180">
        <v>8</v>
      </c>
      <c r="P8" s="199"/>
      <c r="Q8" s="199"/>
      <c r="R8" s="180">
        <v>8</v>
      </c>
      <c r="S8" s="180">
        <v>8</v>
      </c>
      <c r="T8" s="180">
        <v>8</v>
      </c>
      <c r="U8" s="180">
        <v>8</v>
      </c>
      <c r="V8" s="180">
        <v>8</v>
      </c>
      <c r="W8" s="199"/>
      <c r="X8" s="134">
        <f t="shared" si="6"/>
        <v>0</v>
      </c>
      <c r="Y8" s="136">
        <v>10</v>
      </c>
      <c r="Z8" s="120"/>
      <c r="AA8" s="114"/>
      <c r="AB8" s="130"/>
      <c r="AC8" s="130"/>
      <c r="AD8" s="130"/>
      <c r="AE8" s="130"/>
      <c r="AF8" s="130"/>
      <c r="AG8" s="130"/>
    </row>
    <row r="9" spans="1:35" ht="12.75" customHeight="1">
      <c r="A9" s="139" t="s">
        <v>20</v>
      </c>
      <c r="B9" s="132" t="s">
        <v>14</v>
      </c>
      <c r="C9" s="138">
        <v>43731</v>
      </c>
      <c r="D9" s="134">
        <f t="shared" si="2"/>
        <v>80</v>
      </c>
      <c r="E9" s="134">
        <f t="shared" si="3"/>
        <v>80</v>
      </c>
      <c r="F9" s="134">
        <f t="shared" si="4"/>
        <v>80</v>
      </c>
      <c r="G9" s="134">
        <f t="shared" si="5"/>
        <v>80</v>
      </c>
      <c r="H9" s="135">
        <v>0</v>
      </c>
      <c r="I9" s="199"/>
      <c r="J9" s="199"/>
      <c r="K9" s="180">
        <v>8</v>
      </c>
      <c r="L9" s="180">
        <v>8</v>
      </c>
      <c r="M9" s="180">
        <v>8</v>
      </c>
      <c r="N9" s="180">
        <v>8</v>
      </c>
      <c r="O9" s="180">
        <v>8</v>
      </c>
      <c r="P9" s="199"/>
      <c r="Q9" s="199"/>
      <c r="R9" s="180">
        <v>8</v>
      </c>
      <c r="S9" s="180">
        <v>8</v>
      </c>
      <c r="T9" s="180">
        <v>8</v>
      </c>
      <c r="U9" s="180">
        <v>8</v>
      </c>
      <c r="V9" s="180">
        <v>8</v>
      </c>
      <c r="W9" s="199"/>
      <c r="X9" s="134">
        <f t="shared" si="6"/>
        <v>0</v>
      </c>
      <c r="Y9" s="136">
        <v>10</v>
      </c>
      <c r="Z9" s="120"/>
      <c r="AA9" s="114"/>
      <c r="AB9" s="130"/>
      <c r="AC9" s="130"/>
      <c r="AD9" s="130"/>
      <c r="AE9" s="130"/>
      <c r="AF9" s="130"/>
      <c r="AG9" s="130"/>
    </row>
    <row r="10" spans="1:35" ht="12.75" customHeight="1">
      <c r="A10" s="139" t="s">
        <v>21</v>
      </c>
      <c r="B10" s="140" t="s">
        <v>14</v>
      </c>
      <c r="C10" s="138">
        <v>45628</v>
      </c>
      <c r="D10" s="134">
        <f t="shared" si="2"/>
        <v>80</v>
      </c>
      <c r="E10" s="134">
        <f t="shared" si="3"/>
        <v>80</v>
      </c>
      <c r="F10" s="134">
        <f t="shared" si="4"/>
        <v>80</v>
      </c>
      <c r="G10" s="134">
        <f t="shared" si="5"/>
        <v>80</v>
      </c>
      <c r="H10" s="135">
        <v>0</v>
      </c>
      <c r="I10" s="199"/>
      <c r="J10" s="199"/>
      <c r="K10" s="180">
        <v>8</v>
      </c>
      <c r="L10" s="180">
        <v>8</v>
      </c>
      <c r="M10" s="180">
        <v>8</v>
      </c>
      <c r="N10" s="180">
        <v>8</v>
      </c>
      <c r="O10" s="180">
        <v>8</v>
      </c>
      <c r="P10" s="199"/>
      <c r="Q10" s="199"/>
      <c r="R10" s="180">
        <v>8</v>
      </c>
      <c r="S10" s="181">
        <v>8</v>
      </c>
      <c r="T10" s="187">
        <v>8</v>
      </c>
      <c r="U10" s="182">
        <v>8</v>
      </c>
      <c r="V10" s="180">
        <v>8</v>
      </c>
      <c r="W10" s="199"/>
      <c r="X10" s="134">
        <f t="shared" si="6"/>
        <v>0</v>
      </c>
      <c r="Y10" s="136">
        <v>10</v>
      </c>
      <c r="Z10" s="120"/>
      <c r="AA10" s="114"/>
      <c r="AB10" s="130"/>
      <c r="AC10" s="130"/>
      <c r="AD10" s="130"/>
      <c r="AE10" s="130"/>
      <c r="AF10" s="130"/>
      <c r="AG10" s="130"/>
    </row>
    <row r="11" spans="1:35" ht="12.75" hidden="1" customHeight="1">
      <c r="A11" s="140"/>
      <c r="B11" s="140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34">
        <f t="shared" si="6"/>
        <v>10</v>
      </c>
      <c r="Y11" s="135">
        <f t="shared" ref="Y11:Y14" si="7">NETWORKDAYS($I$3,$W$3,$W$3)</f>
        <v>10</v>
      </c>
      <c r="Z11" s="120"/>
      <c r="AA11" s="114"/>
      <c r="AB11" s="130"/>
      <c r="AC11" s="130"/>
      <c r="AD11" s="130"/>
      <c r="AE11" s="130"/>
      <c r="AF11" s="130"/>
      <c r="AG11" s="130"/>
    </row>
    <row r="12" spans="1:35" ht="12.75" hidden="1" customHeight="1">
      <c r="A12" s="140"/>
      <c r="B12" s="140"/>
      <c r="C12" s="140"/>
      <c r="D12" s="140"/>
      <c r="E12" s="140"/>
      <c r="F12" s="140"/>
      <c r="G12" s="140"/>
      <c r="H12" s="140"/>
      <c r="I12" s="140"/>
      <c r="J12" s="140"/>
      <c r="K12" s="140"/>
      <c r="L12" s="140"/>
      <c r="M12" s="140"/>
      <c r="N12" s="140"/>
      <c r="O12" s="140"/>
      <c r="P12" s="140"/>
      <c r="Q12" s="140"/>
      <c r="R12" s="140"/>
      <c r="S12" s="140"/>
      <c r="T12" s="140"/>
      <c r="U12" s="140"/>
      <c r="V12" s="140"/>
      <c r="W12" s="140"/>
      <c r="X12" s="134">
        <f t="shared" si="6"/>
        <v>10</v>
      </c>
      <c r="Y12" s="135">
        <f t="shared" si="7"/>
        <v>10</v>
      </c>
      <c r="Z12" s="120"/>
      <c r="AA12" s="114"/>
      <c r="AB12" s="130"/>
      <c r="AC12" s="130"/>
      <c r="AD12" s="130"/>
      <c r="AE12" s="130"/>
      <c r="AF12" s="130"/>
      <c r="AG12" s="130"/>
    </row>
    <row r="13" spans="1:35" ht="12.75" hidden="1" customHeight="1">
      <c r="A13" s="140"/>
      <c r="B13" s="140"/>
      <c r="C13" s="140"/>
      <c r="D13" s="140"/>
      <c r="E13" s="140"/>
      <c r="F13" s="140"/>
      <c r="G13" s="140"/>
      <c r="H13" s="140"/>
      <c r="I13" s="140"/>
      <c r="J13" s="140"/>
      <c r="K13" s="140"/>
      <c r="L13" s="140"/>
      <c r="M13" s="140"/>
      <c r="N13" s="140"/>
      <c r="O13" s="140"/>
      <c r="P13" s="140"/>
      <c r="Q13" s="140"/>
      <c r="R13" s="140"/>
      <c r="S13" s="140"/>
      <c r="T13" s="140"/>
      <c r="U13" s="140"/>
      <c r="V13" s="140"/>
      <c r="W13" s="140"/>
      <c r="X13" s="134">
        <f t="shared" si="6"/>
        <v>10</v>
      </c>
      <c r="Y13" s="135">
        <f t="shared" si="7"/>
        <v>10</v>
      </c>
      <c r="Z13" s="120"/>
      <c r="AA13" s="114"/>
      <c r="AB13" s="130"/>
      <c r="AC13" s="130"/>
      <c r="AD13" s="130"/>
      <c r="AE13" s="130"/>
      <c r="AF13" s="130"/>
      <c r="AG13" s="130"/>
    </row>
    <row r="14" spans="1:35" ht="12.75" hidden="1" customHeight="1">
      <c r="A14" s="140"/>
      <c r="B14" s="140"/>
      <c r="C14" s="140"/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34">
        <f t="shared" si="6"/>
        <v>10</v>
      </c>
      <c r="Y14" s="135">
        <f t="shared" si="7"/>
        <v>10</v>
      </c>
      <c r="Z14" s="120"/>
      <c r="AA14" s="114"/>
      <c r="AB14" s="130"/>
      <c r="AC14" s="130"/>
      <c r="AD14" s="130"/>
      <c r="AE14" s="130"/>
      <c r="AF14" s="130"/>
      <c r="AG14" s="130"/>
    </row>
    <row r="15" spans="1:35" ht="12.75" customHeight="1">
      <c r="A15" s="188"/>
      <c r="B15" s="188"/>
      <c r="C15" s="188"/>
      <c r="D15" s="189">
        <f t="shared" ref="D15:W15" si="8">SUM(D5:D14)</f>
        <v>480</v>
      </c>
      <c r="E15" s="189">
        <f t="shared" si="8"/>
        <v>480</v>
      </c>
      <c r="F15" s="189">
        <f t="shared" si="8"/>
        <v>472</v>
      </c>
      <c r="G15" s="189">
        <f t="shared" si="8"/>
        <v>472</v>
      </c>
      <c r="H15" s="189">
        <f t="shared" si="8"/>
        <v>0</v>
      </c>
      <c r="I15" s="189">
        <f t="shared" si="8"/>
        <v>0</v>
      </c>
      <c r="J15" s="189">
        <f t="shared" si="8"/>
        <v>0</v>
      </c>
      <c r="K15" s="189">
        <f t="shared" si="8"/>
        <v>48</v>
      </c>
      <c r="L15" s="189">
        <f t="shared" si="8"/>
        <v>48</v>
      </c>
      <c r="M15" s="189">
        <f t="shared" si="8"/>
        <v>48</v>
      </c>
      <c r="N15" s="189">
        <f t="shared" si="8"/>
        <v>48</v>
      </c>
      <c r="O15" s="189">
        <f t="shared" si="8"/>
        <v>48</v>
      </c>
      <c r="P15" s="189">
        <f t="shared" si="8"/>
        <v>0</v>
      </c>
      <c r="Q15" s="189">
        <f t="shared" si="8"/>
        <v>0</v>
      </c>
      <c r="R15" s="189">
        <f t="shared" si="8"/>
        <v>40</v>
      </c>
      <c r="S15" s="189">
        <f t="shared" si="8"/>
        <v>48</v>
      </c>
      <c r="T15" s="189">
        <f t="shared" si="8"/>
        <v>48</v>
      </c>
      <c r="U15" s="189">
        <f t="shared" si="8"/>
        <v>48</v>
      </c>
      <c r="V15" s="189">
        <f t="shared" si="8"/>
        <v>48</v>
      </c>
      <c r="W15" s="189">
        <f t="shared" si="8"/>
        <v>0</v>
      </c>
      <c r="X15" s="189"/>
      <c r="Y15" s="189"/>
      <c r="Z15" s="120"/>
      <c r="AA15" s="114"/>
      <c r="AB15" s="130"/>
      <c r="AC15" s="130"/>
      <c r="AD15" s="130"/>
      <c r="AE15" s="130"/>
      <c r="AF15" s="130"/>
      <c r="AG15" s="130"/>
    </row>
    <row r="16" spans="1:35" ht="15" customHeight="1">
      <c r="A16" s="120"/>
      <c r="B16" s="120"/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  <c r="S16" s="120"/>
      <c r="T16" s="120"/>
      <c r="U16" s="120"/>
      <c r="V16" s="120"/>
      <c r="W16" s="120"/>
      <c r="X16" s="120"/>
      <c r="Y16" s="120"/>
      <c r="Z16" s="120"/>
      <c r="AA16" s="114"/>
      <c r="AB16" s="114"/>
      <c r="AC16" s="114"/>
      <c r="AD16" s="130"/>
      <c r="AE16" s="130"/>
      <c r="AF16" s="130"/>
      <c r="AG16" s="130"/>
      <c r="AH16" s="130"/>
      <c r="AI16" s="130"/>
    </row>
    <row r="17" spans="1:29" ht="15" customHeight="1">
      <c r="A17" s="116" t="s">
        <v>22</v>
      </c>
      <c r="B17" s="117"/>
      <c r="C17" s="117"/>
      <c r="D17" s="120"/>
      <c r="E17" s="120"/>
      <c r="F17" s="120"/>
      <c r="G17" s="120"/>
      <c r="H17" s="120"/>
      <c r="I17" s="120"/>
      <c r="J17" s="120"/>
      <c r="K17" s="120"/>
      <c r="L17" s="120"/>
      <c r="M17" s="120"/>
      <c r="N17" s="120"/>
      <c r="O17" s="120"/>
      <c r="P17" s="120"/>
      <c r="Q17" s="120"/>
      <c r="R17" s="120"/>
      <c r="S17" s="120"/>
      <c r="T17" s="120"/>
      <c r="U17" s="120"/>
      <c r="V17" s="120"/>
      <c r="W17" s="120"/>
      <c r="X17" s="120"/>
      <c r="Y17" s="120"/>
      <c r="Z17" s="120"/>
      <c r="AA17" s="114"/>
      <c r="AB17" s="120"/>
      <c r="AC17" s="114"/>
    </row>
    <row r="18" spans="1:29" ht="35.25" customHeight="1">
      <c r="A18" s="252" t="s">
        <v>1</v>
      </c>
      <c r="B18" s="252" t="s">
        <v>2</v>
      </c>
      <c r="C18" s="252" t="s">
        <v>3</v>
      </c>
      <c r="D18" s="252" t="s">
        <v>4</v>
      </c>
      <c r="E18" s="257" t="s">
        <v>5</v>
      </c>
      <c r="F18" s="258"/>
      <c r="G18" s="258"/>
      <c r="H18" s="259"/>
      <c r="I18" s="141">
        <f>W3+1</f>
        <v>45732</v>
      </c>
      <c r="J18" s="141">
        <f t="shared" ref="J18:X18" si="9">I18+1</f>
        <v>45733</v>
      </c>
      <c r="K18" s="141">
        <f t="shared" si="9"/>
        <v>45734</v>
      </c>
      <c r="L18" s="121">
        <f t="shared" si="9"/>
        <v>45735</v>
      </c>
      <c r="M18" s="141">
        <f t="shared" si="9"/>
        <v>45736</v>
      </c>
      <c r="N18" s="141">
        <f t="shared" si="9"/>
        <v>45737</v>
      </c>
      <c r="O18" s="141">
        <f t="shared" si="9"/>
        <v>45738</v>
      </c>
      <c r="P18" s="141">
        <f t="shared" si="9"/>
        <v>45739</v>
      </c>
      <c r="Q18" s="141">
        <f t="shared" si="9"/>
        <v>45740</v>
      </c>
      <c r="R18" s="141">
        <f t="shared" si="9"/>
        <v>45741</v>
      </c>
      <c r="S18" s="141">
        <f t="shared" si="9"/>
        <v>45742</v>
      </c>
      <c r="T18" s="141">
        <f t="shared" si="9"/>
        <v>45743</v>
      </c>
      <c r="U18" s="141">
        <f t="shared" si="9"/>
        <v>45744</v>
      </c>
      <c r="V18" s="141">
        <f t="shared" si="9"/>
        <v>45745</v>
      </c>
      <c r="W18" s="141">
        <f t="shared" si="9"/>
        <v>45746</v>
      </c>
      <c r="X18" s="141">
        <f t="shared" si="9"/>
        <v>45747</v>
      </c>
      <c r="Y18" s="252" t="s">
        <v>6</v>
      </c>
      <c r="Z18" s="252" t="s">
        <v>7</v>
      </c>
      <c r="AA18" s="120"/>
      <c r="AB18" s="114"/>
    </row>
    <row r="19" spans="1:29" ht="26.25" customHeight="1">
      <c r="A19" s="253"/>
      <c r="B19" s="253"/>
      <c r="C19" s="253"/>
      <c r="D19" s="253"/>
      <c r="E19" s="122" t="s">
        <v>8</v>
      </c>
      <c r="F19" s="123" t="s">
        <v>9</v>
      </c>
      <c r="G19" s="124" t="s">
        <v>10</v>
      </c>
      <c r="H19" s="124" t="s">
        <v>11</v>
      </c>
      <c r="I19" s="128" t="str">
        <f t="shared" ref="I19:X19" si="10">IF(I18="","",TEXT(WEEKDAY(I18), "ddd"))</f>
        <v>Sun</v>
      </c>
      <c r="J19" s="128" t="str">
        <f t="shared" si="10"/>
        <v>Mon</v>
      </c>
      <c r="K19" s="128" t="str">
        <f t="shared" si="10"/>
        <v>Tue</v>
      </c>
      <c r="L19" s="128" t="str">
        <f t="shared" si="10"/>
        <v>Wed</v>
      </c>
      <c r="M19" s="128" t="str">
        <f t="shared" si="10"/>
        <v>Thu</v>
      </c>
      <c r="N19" s="128" t="str">
        <f t="shared" si="10"/>
        <v>Fri</v>
      </c>
      <c r="O19" s="128" t="str">
        <f t="shared" si="10"/>
        <v>Sat</v>
      </c>
      <c r="P19" s="127" t="str">
        <f t="shared" si="10"/>
        <v>Sun</v>
      </c>
      <c r="Q19" s="127" t="str">
        <f t="shared" si="10"/>
        <v>Mon</v>
      </c>
      <c r="R19" s="128" t="str">
        <f t="shared" si="10"/>
        <v>Tue</v>
      </c>
      <c r="S19" s="128" t="str">
        <f t="shared" si="10"/>
        <v>Wed</v>
      </c>
      <c r="T19" s="128" t="str">
        <f t="shared" si="10"/>
        <v>Thu</v>
      </c>
      <c r="U19" s="128" t="str">
        <f t="shared" si="10"/>
        <v>Fri</v>
      </c>
      <c r="V19" s="128" t="str">
        <f t="shared" si="10"/>
        <v>Sat</v>
      </c>
      <c r="W19" s="127" t="str">
        <f t="shared" si="10"/>
        <v>Sun</v>
      </c>
      <c r="X19" s="127" t="str">
        <f t="shared" si="10"/>
        <v>Mon</v>
      </c>
      <c r="Y19" s="253"/>
      <c r="Z19" s="253"/>
      <c r="AA19" s="120"/>
      <c r="AB19" s="114"/>
    </row>
    <row r="20" spans="1:29" ht="12.75" customHeight="1">
      <c r="A20" s="142" t="s">
        <v>13</v>
      </c>
      <c r="B20" s="132" t="s">
        <v>14</v>
      </c>
      <c r="C20" s="133">
        <v>43437</v>
      </c>
      <c r="D20" s="134">
        <f t="shared" ref="D20:D25" si="11">E20</f>
        <v>80</v>
      </c>
      <c r="E20" s="134">
        <f t="shared" ref="E20:E25" si="12">Z20*8</f>
        <v>80</v>
      </c>
      <c r="F20" s="134">
        <f t="shared" ref="F20:F25" si="13">G20+H20</f>
        <v>80</v>
      </c>
      <c r="G20" s="134">
        <f t="shared" ref="G20:G25" si="14">SUM(I20:X20)</f>
        <v>80</v>
      </c>
      <c r="H20" s="135">
        <v>0</v>
      </c>
      <c r="I20" s="199"/>
      <c r="J20" s="180">
        <v>8</v>
      </c>
      <c r="K20" s="180">
        <v>8</v>
      </c>
      <c r="L20" s="180">
        <v>8</v>
      </c>
      <c r="M20" s="180">
        <v>8</v>
      </c>
      <c r="N20" s="180">
        <v>8</v>
      </c>
      <c r="O20" s="199"/>
      <c r="P20" s="199"/>
      <c r="Q20" s="180">
        <v>8</v>
      </c>
      <c r="R20" s="180">
        <v>8</v>
      </c>
      <c r="S20" s="180">
        <v>8</v>
      </c>
      <c r="T20" s="180">
        <v>8</v>
      </c>
      <c r="U20" s="180">
        <v>8</v>
      </c>
      <c r="V20" s="201"/>
      <c r="W20" s="199"/>
      <c r="X20" s="185"/>
      <c r="Y20" s="134">
        <f t="shared" ref="Y20:Y25" si="15">Z20-COUNTA(I20:X20)</f>
        <v>0</v>
      </c>
      <c r="Z20" s="136">
        <v>10</v>
      </c>
      <c r="AA20" s="120"/>
      <c r="AB20" s="114"/>
    </row>
    <row r="21" spans="1:29" ht="12.75" customHeight="1">
      <c r="A21" s="142" t="s">
        <v>16</v>
      </c>
      <c r="B21" s="132" t="s">
        <v>14</v>
      </c>
      <c r="C21" s="133">
        <v>45028</v>
      </c>
      <c r="D21" s="134">
        <f t="shared" si="11"/>
        <v>80</v>
      </c>
      <c r="E21" s="134">
        <f t="shared" si="12"/>
        <v>80</v>
      </c>
      <c r="F21" s="134">
        <f t="shared" si="13"/>
        <v>64</v>
      </c>
      <c r="G21" s="134">
        <f t="shared" si="14"/>
        <v>64</v>
      </c>
      <c r="H21" s="135">
        <v>0</v>
      </c>
      <c r="I21" s="199"/>
      <c r="J21" s="180">
        <v>8</v>
      </c>
      <c r="K21" s="180">
        <v>8</v>
      </c>
      <c r="L21" s="180">
        <v>8</v>
      </c>
      <c r="M21" s="180">
        <v>8</v>
      </c>
      <c r="N21" s="180">
        <v>8</v>
      </c>
      <c r="O21" s="199"/>
      <c r="P21" s="199"/>
      <c r="Q21" s="180">
        <v>8</v>
      </c>
      <c r="R21" s="183">
        <v>8</v>
      </c>
      <c r="S21" s="180">
        <v>8</v>
      </c>
      <c r="T21" s="186"/>
      <c r="U21" s="186"/>
      <c r="V21" s="201"/>
      <c r="W21" s="199"/>
      <c r="X21" s="185"/>
      <c r="Y21" s="134">
        <f t="shared" si="15"/>
        <v>2</v>
      </c>
      <c r="Z21" s="136">
        <v>10</v>
      </c>
      <c r="AA21" s="120"/>
      <c r="AB21" s="114"/>
    </row>
    <row r="22" spans="1:29" ht="12.75" customHeight="1">
      <c r="A22" s="142" t="s">
        <v>17</v>
      </c>
      <c r="B22" s="132" t="s">
        <v>14</v>
      </c>
      <c r="C22" s="133">
        <v>43395</v>
      </c>
      <c r="D22" s="134">
        <f t="shared" si="11"/>
        <v>80</v>
      </c>
      <c r="E22" s="134">
        <f t="shared" si="12"/>
        <v>80</v>
      </c>
      <c r="F22" s="134">
        <f t="shared" si="13"/>
        <v>72</v>
      </c>
      <c r="G22" s="134">
        <f t="shared" si="14"/>
        <v>72</v>
      </c>
      <c r="H22" s="135">
        <v>0</v>
      </c>
      <c r="I22" s="199"/>
      <c r="J22" s="180">
        <v>8</v>
      </c>
      <c r="K22" s="186"/>
      <c r="L22" s="180">
        <v>8</v>
      </c>
      <c r="M22" s="180">
        <v>8</v>
      </c>
      <c r="N22" s="180">
        <v>8</v>
      </c>
      <c r="O22" s="199"/>
      <c r="P22" s="199"/>
      <c r="Q22" s="180">
        <v>8</v>
      </c>
      <c r="R22" s="180">
        <v>8</v>
      </c>
      <c r="S22" s="180">
        <v>8</v>
      </c>
      <c r="T22" s="180">
        <v>8</v>
      </c>
      <c r="U22" s="180">
        <v>8</v>
      </c>
      <c r="V22" s="201"/>
      <c r="W22" s="199"/>
      <c r="X22" s="185"/>
      <c r="Y22" s="134">
        <f t="shared" si="15"/>
        <v>1</v>
      </c>
      <c r="Z22" s="136">
        <v>10</v>
      </c>
      <c r="AA22" s="120"/>
      <c r="AB22" s="114"/>
    </row>
    <row r="23" spans="1:29" ht="12.75" customHeight="1">
      <c r="A23" s="131" t="s">
        <v>19</v>
      </c>
      <c r="B23" s="132" t="s">
        <v>14</v>
      </c>
      <c r="C23" s="138">
        <v>43741</v>
      </c>
      <c r="D23" s="134">
        <f t="shared" si="11"/>
        <v>80</v>
      </c>
      <c r="E23" s="134">
        <f t="shared" si="12"/>
        <v>80</v>
      </c>
      <c r="F23" s="134">
        <f t="shared" si="13"/>
        <v>80</v>
      </c>
      <c r="G23" s="134">
        <f t="shared" si="14"/>
        <v>80</v>
      </c>
      <c r="H23" s="135">
        <v>0</v>
      </c>
      <c r="I23" s="199"/>
      <c r="J23" s="180">
        <v>8</v>
      </c>
      <c r="K23" s="180">
        <v>8</v>
      </c>
      <c r="L23" s="180">
        <v>8</v>
      </c>
      <c r="M23" s="180">
        <v>8</v>
      </c>
      <c r="N23" s="180">
        <v>8</v>
      </c>
      <c r="O23" s="199"/>
      <c r="P23" s="199"/>
      <c r="Q23" s="180">
        <v>8</v>
      </c>
      <c r="R23" s="183">
        <v>8</v>
      </c>
      <c r="S23" s="180">
        <v>8</v>
      </c>
      <c r="T23" s="180">
        <v>8</v>
      </c>
      <c r="U23" s="180">
        <v>8</v>
      </c>
      <c r="V23" s="201"/>
      <c r="W23" s="199"/>
      <c r="X23" s="185"/>
      <c r="Y23" s="134">
        <f t="shared" si="15"/>
        <v>0</v>
      </c>
      <c r="Z23" s="136">
        <v>10</v>
      </c>
      <c r="AA23" s="120"/>
      <c r="AB23" s="114"/>
    </row>
    <row r="24" spans="1:29" ht="12.75" customHeight="1">
      <c r="A24" s="139" t="s">
        <v>20</v>
      </c>
      <c r="B24" s="132" t="s">
        <v>14</v>
      </c>
      <c r="C24" s="138">
        <v>43731</v>
      </c>
      <c r="D24" s="134">
        <f t="shared" si="11"/>
        <v>80</v>
      </c>
      <c r="E24" s="134">
        <f t="shared" si="12"/>
        <v>80</v>
      </c>
      <c r="F24" s="134">
        <f t="shared" si="13"/>
        <v>64</v>
      </c>
      <c r="G24" s="134">
        <f t="shared" si="14"/>
        <v>64</v>
      </c>
      <c r="H24" s="135">
        <v>0</v>
      </c>
      <c r="I24" s="199"/>
      <c r="J24" s="180">
        <v>8</v>
      </c>
      <c r="K24" s="180">
        <v>8</v>
      </c>
      <c r="L24" s="180">
        <v>8</v>
      </c>
      <c r="M24" s="186"/>
      <c r="N24" s="186"/>
      <c r="O24" s="199"/>
      <c r="P24" s="199"/>
      <c r="Q24" s="180">
        <v>8</v>
      </c>
      <c r="R24" s="180">
        <v>8</v>
      </c>
      <c r="S24" s="180">
        <v>8</v>
      </c>
      <c r="T24" s="180">
        <v>8</v>
      </c>
      <c r="U24" s="180">
        <v>8</v>
      </c>
      <c r="V24" s="201"/>
      <c r="W24" s="199"/>
      <c r="X24" s="185"/>
      <c r="Y24" s="134">
        <f t="shared" si="15"/>
        <v>2</v>
      </c>
      <c r="Z24" s="136">
        <v>10</v>
      </c>
      <c r="AA24" s="120"/>
      <c r="AB24" s="114"/>
    </row>
    <row r="25" spans="1:29" ht="12.75" customHeight="1">
      <c r="A25" s="139" t="s">
        <v>21</v>
      </c>
      <c r="B25" s="140" t="s">
        <v>14</v>
      </c>
      <c r="C25" s="138">
        <v>45628</v>
      </c>
      <c r="D25" s="134">
        <f t="shared" si="11"/>
        <v>80</v>
      </c>
      <c r="E25" s="134">
        <f t="shared" si="12"/>
        <v>80</v>
      </c>
      <c r="F25" s="134">
        <f t="shared" si="13"/>
        <v>56</v>
      </c>
      <c r="G25" s="134">
        <f t="shared" si="14"/>
        <v>56</v>
      </c>
      <c r="H25" s="135">
        <v>0</v>
      </c>
      <c r="I25" s="199"/>
      <c r="J25" s="186"/>
      <c r="K25" s="186"/>
      <c r="L25" s="180">
        <v>8</v>
      </c>
      <c r="M25" s="180">
        <v>8</v>
      </c>
      <c r="N25" s="183">
        <v>8</v>
      </c>
      <c r="O25" s="200"/>
      <c r="P25" s="200"/>
      <c r="Q25" s="186"/>
      <c r="R25" s="183">
        <v>8</v>
      </c>
      <c r="S25" s="183">
        <v>8</v>
      </c>
      <c r="T25" s="183">
        <v>8</v>
      </c>
      <c r="U25" s="183">
        <v>8</v>
      </c>
      <c r="V25" s="200"/>
      <c r="W25" s="199"/>
      <c r="X25" s="185"/>
      <c r="Y25" s="134">
        <f t="shared" si="15"/>
        <v>3</v>
      </c>
      <c r="Z25" s="136">
        <v>10</v>
      </c>
      <c r="AA25" s="120"/>
      <c r="AB25" s="114"/>
    </row>
    <row r="26" spans="1:29" ht="12.75" hidden="1" customHeight="1">
      <c r="A26" s="140"/>
      <c r="B26" s="140"/>
      <c r="C26" s="140"/>
      <c r="D26" s="140"/>
      <c r="E26" s="140"/>
      <c r="F26" s="140"/>
      <c r="G26" s="140"/>
      <c r="H26" s="140"/>
      <c r="I26" s="140"/>
      <c r="J26" s="140"/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34"/>
      <c r="Z26" s="135"/>
      <c r="AA26" s="120"/>
      <c r="AB26" s="114"/>
    </row>
    <row r="27" spans="1:29" ht="12.75" hidden="1" customHeight="1">
      <c r="A27" s="140"/>
      <c r="B27" s="140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34"/>
      <c r="Z27" s="135"/>
      <c r="AA27" s="120"/>
      <c r="AB27" s="114"/>
    </row>
    <row r="28" spans="1:29" ht="12.75" hidden="1" customHeight="1">
      <c r="A28" s="140"/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  <c r="N28" s="140"/>
      <c r="O28" s="140"/>
      <c r="P28" s="140"/>
      <c r="Q28" s="140"/>
      <c r="R28" s="140"/>
      <c r="S28" s="140"/>
      <c r="T28" s="140"/>
      <c r="U28" s="140"/>
      <c r="V28" s="140"/>
      <c r="W28" s="140"/>
      <c r="X28" s="140"/>
      <c r="Y28" s="134"/>
      <c r="Z28" s="135"/>
      <c r="AA28" s="120"/>
      <c r="AB28" s="114"/>
    </row>
    <row r="29" spans="1:29" ht="12.75" hidden="1" customHeight="1">
      <c r="A29" s="140"/>
      <c r="B29" s="140"/>
      <c r="C29" s="140"/>
      <c r="D29" s="140"/>
      <c r="E29" s="140"/>
      <c r="F29" s="140"/>
      <c r="G29" s="140"/>
      <c r="H29" s="140"/>
      <c r="I29" s="140"/>
      <c r="J29" s="140"/>
      <c r="K29" s="140"/>
      <c r="L29" s="140"/>
      <c r="M29" s="140"/>
      <c r="N29" s="140"/>
      <c r="O29" s="140"/>
      <c r="P29" s="140"/>
      <c r="Q29" s="140"/>
      <c r="R29" s="140"/>
      <c r="S29" s="140"/>
      <c r="T29" s="140"/>
      <c r="U29" s="140"/>
      <c r="V29" s="140"/>
      <c r="W29" s="140"/>
      <c r="X29" s="140"/>
      <c r="Y29" s="134"/>
      <c r="Z29" s="135"/>
      <c r="AA29" s="120"/>
      <c r="AB29" s="114"/>
    </row>
    <row r="30" spans="1:29" ht="12.75" customHeight="1">
      <c r="A30" s="190"/>
      <c r="B30" s="190"/>
      <c r="C30" s="191"/>
      <c r="D30" s="189">
        <f t="shared" ref="D30:U30" si="16">SUM(D20:D29)</f>
        <v>480</v>
      </c>
      <c r="E30" s="189">
        <f t="shared" si="16"/>
        <v>480</v>
      </c>
      <c r="F30" s="189">
        <f t="shared" si="16"/>
        <v>416</v>
      </c>
      <c r="G30" s="189">
        <f t="shared" si="16"/>
        <v>416</v>
      </c>
      <c r="H30" s="189">
        <f t="shared" si="16"/>
        <v>0</v>
      </c>
      <c r="I30" s="189">
        <f t="shared" si="16"/>
        <v>0</v>
      </c>
      <c r="J30" s="189">
        <f t="shared" si="16"/>
        <v>40</v>
      </c>
      <c r="K30" s="189">
        <f t="shared" si="16"/>
        <v>32</v>
      </c>
      <c r="L30" s="189">
        <f t="shared" si="16"/>
        <v>48</v>
      </c>
      <c r="M30" s="189">
        <f t="shared" si="16"/>
        <v>40</v>
      </c>
      <c r="N30" s="189">
        <f t="shared" si="16"/>
        <v>40</v>
      </c>
      <c r="O30" s="189">
        <f t="shared" si="16"/>
        <v>0</v>
      </c>
      <c r="P30" s="189">
        <f t="shared" si="16"/>
        <v>0</v>
      </c>
      <c r="Q30" s="189">
        <f t="shared" si="16"/>
        <v>40</v>
      </c>
      <c r="R30" s="189">
        <f t="shared" si="16"/>
        <v>48</v>
      </c>
      <c r="S30" s="189">
        <f t="shared" si="16"/>
        <v>48</v>
      </c>
      <c r="T30" s="189">
        <f t="shared" si="16"/>
        <v>40</v>
      </c>
      <c r="U30" s="189">
        <f t="shared" si="16"/>
        <v>40</v>
      </c>
      <c r="V30" s="189"/>
      <c r="W30" s="189"/>
      <c r="X30" s="189"/>
      <c r="Y30" s="189"/>
      <c r="Z30" s="189"/>
      <c r="AA30" s="114"/>
      <c r="AB30" s="114"/>
    </row>
    <row r="31" spans="1:29" ht="12.75" customHeight="1">
      <c r="A31" s="143"/>
      <c r="B31" s="143"/>
      <c r="C31" s="144"/>
      <c r="D31" s="145"/>
      <c r="E31" s="146"/>
      <c r="F31" s="146"/>
      <c r="G31" s="146"/>
      <c r="H31" s="118"/>
      <c r="I31" s="147"/>
      <c r="J31" s="147"/>
      <c r="K31" s="147"/>
      <c r="L31" s="147"/>
      <c r="M31" s="147"/>
      <c r="N31" s="147"/>
      <c r="O31" s="114"/>
      <c r="P31" s="114"/>
      <c r="Q31" s="147"/>
      <c r="R31" s="147"/>
      <c r="S31" s="147"/>
      <c r="T31" s="147"/>
      <c r="U31" s="147"/>
      <c r="V31" s="147"/>
      <c r="W31" s="147"/>
      <c r="X31" s="147"/>
      <c r="Y31" s="114"/>
      <c r="Z31" s="114"/>
      <c r="AA31" s="114"/>
      <c r="AB31" s="114"/>
      <c r="AC31" s="114"/>
    </row>
    <row r="32" spans="1:29" ht="12.75" customHeight="1">
      <c r="A32" s="120"/>
      <c r="B32" s="120"/>
      <c r="C32" s="120"/>
      <c r="D32" s="120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48"/>
      <c r="AB32" s="120"/>
      <c r="AC32" s="114"/>
    </row>
    <row r="33" spans="1:29" ht="57.75" customHeight="1">
      <c r="A33" s="149" t="s">
        <v>1</v>
      </c>
      <c r="B33" s="150" t="s">
        <v>23</v>
      </c>
      <c r="C33" s="150" t="s">
        <v>24</v>
      </c>
      <c r="D33" s="151" t="s">
        <v>25</v>
      </c>
      <c r="E33" s="114"/>
      <c r="F33" s="120"/>
      <c r="G33" s="120"/>
      <c r="H33" s="120"/>
      <c r="I33" s="120"/>
      <c r="J33" s="120"/>
      <c r="K33" s="120"/>
      <c r="L33" s="118"/>
      <c r="M33" s="118"/>
      <c r="N33" s="118"/>
      <c r="O33" s="118"/>
      <c r="P33" s="118"/>
      <c r="Q33" s="118"/>
      <c r="R33" s="120"/>
      <c r="S33" s="120"/>
      <c r="T33" s="120"/>
      <c r="U33" s="120"/>
      <c r="V33" s="120"/>
      <c r="W33" s="120"/>
      <c r="X33" s="120"/>
      <c r="Y33" s="120"/>
      <c r="Z33" s="120"/>
      <c r="AA33" s="148"/>
      <c r="AB33" s="120"/>
      <c r="AC33" s="114"/>
    </row>
    <row r="34" spans="1:29" ht="13.5" customHeight="1">
      <c r="A34" s="152" t="s">
        <v>13</v>
      </c>
      <c r="B34" s="153">
        <f>F5+F20</f>
        <v>160</v>
      </c>
      <c r="C34" s="154">
        <f t="shared" ref="C34:C39" si="17">E5+E20</f>
        <v>160</v>
      </c>
      <c r="D34" s="155">
        <f t="shared" ref="D34:D39" si="18">B34</f>
        <v>160</v>
      </c>
      <c r="E34" s="114"/>
      <c r="F34" s="114"/>
      <c r="G34" s="114"/>
      <c r="H34" s="114"/>
      <c r="I34" s="114"/>
      <c r="J34" s="114"/>
      <c r="K34" s="114"/>
      <c r="L34" s="114"/>
      <c r="M34" s="114"/>
      <c r="N34" s="114"/>
      <c r="O34" s="114"/>
      <c r="P34" s="114"/>
      <c r="Q34" s="114"/>
      <c r="R34" s="114"/>
      <c r="S34" s="114"/>
      <c r="T34" s="114"/>
      <c r="U34" s="114"/>
      <c r="V34" s="114"/>
      <c r="W34" s="114"/>
      <c r="X34" s="114"/>
      <c r="Y34" s="114"/>
      <c r="Z34" s="114"/>
      <c r="AA34" s="114"/>
      <c r="AB34" s="114"/>
    </row>
    <row r="35" spans="1:29" ht="13.5" customHeight="1">
      <c r="A35" s="156" t="s">
        <v>16</v>
      </c>
      <c r="B35" s="153">
        <f>F6+F21</f>
        <v>144</v>
      </c>
      <c r="C35" s="154">
        <f t="shared" si="17"/>
        <v>160</v>
      </c>
      <c r="D35" s="155">
        <f t="shared" si="18"/>
        <v>144</v>
      </c>
      <c r="E35" s="114"/>
      <c r="F35" s="114"/>
      <c r="G35" s="114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0"/>
      <c r="Y35" s="120"/>
      <c r="Z35" s="120"/>
      <c r="AA35" s="148"/>
      <c r="AB35" s="120"/>
      <c r="AC35" s="114"/>
    </row>
    <row r="36" spans="1:29" ht="13.5" customHeight="1">
      <c r="A36" s="156" t="s">
        <v>17</v>
      </c>
      <c r="B36" s="153">
        <f>F7+F22</f>
        <v>144</v>
      </c>
      <c r="C36" s="154">
        <f t="shared" si="17"/>
        <v>160</v>
      </c>
      <c r="D36" s="155">
        <f t="shared" si="18"/>
        <v>144</v>
      </c>
      <c r="E36" s="114"/>
      <c r="F36" s="114"/>
      <c r="G36" s="114"/>
      <c r="H36" s="120"/>
      <c r="I36" s="120"/>
      <c r="J36" s="120"/>
      <c r="K36" s="120"/>
      <c r="L36" s="120"/>
      <c r="M36" s="120"/>
      <c r="N36" s="120"/>
      <c r="O36" s="120"/>
      <c r="P36" s="120"/>
      <c r="Q36" s="120"/>
      <c r="R36" s="120"/>
      <c r="S36" s="120"/>
      <c r="T36" s="120"/>
      <c r="U36" s="120"/>
      <c r="V36" s="120"/>
      <c r="W36" s="120"/>
      <c r="X36" s="120"/>
      <c r="Y36" s="120"/>
      <c r="Z36" s="120"/>
      <c r="AA36" s="148"/>
      <c r="AB36" s="120"/>
      <c r="AC36" s="114"/>
    </row>
    <row r="37" spans="1:29" ht="13.5" customHeight="1">
      <c r="A37" s="152" t="s">
        <v>19</v>
      </c>
      <c r="B37" s="153">
        <f>F8+F23</f>
        <v>160</v>
      </c>
      <c r="C37" s="154">
        <f t="shared" si="17"/>
        <v>160</v>
      </c>
      <c r="D37" s="155">
        <f t="shared" si="18"/>
        <v>160</v>
      </c>
      <c r="E37" s="114"/>
      <c r="F37" s="114"/>
      <c r="G37" s="114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0"/>
      <c r="Y37" s="120"/>
      <c r="Z37" s="120"/>
      <c r="AA37" s="148"/>
      <c r="AB37" s="120"/>
      <c r="AC37" s="114"/>
    </row>
    <row r="38" spans="1:29" ht="13.5" customHeight="1">
      <c r="A38" s="157" t="s">
        <v>20</v>
      </c>
      <c r="B38" s="158">
        <f>F9+F24</f>
        <v>144</v>
      </c>
      <c r="C38" s="159">
        <f t="shared" si="17"/>
        <v>160</v>
      </c>
      <c r="D38" s="160">
        <f t="shared" si="18"/>
        <v>144</v>
      </c>
      <c r="E38" s="114"/>
      <c r="F38" s="120"/>
      <c r="G38" s="114"/>
      <c r="H38" s="120"/>
      <c r="I38" s="120"/>
      <c r="J38" s="120"/>
      <c r="K38" s="120"/>
      <c r="L38" s="120"/>
      <c r="M38" s="120"/>
      <c r="N38" s="120"/>
      <c r="O38" s="120"/>
      <c r="P38" s="120"/>
      <c r="Q38" s="120"/>
      <c r="R38" s="120"/>
      <c r="S38" s="120"/>
      <c r="T38" s="120"/>
      <c r="U38" s="120"/>
      <c r="V38" s="120"/>
      <c r="W38" s="120"/>
      <c r="X38" s="120"/>
      <c r="Y38" s="120"/>
      <c r="Z38" s="120"/>
      <c r="AA38" s="148"/>
      <c r="AB38" s="120"/>
      <c r="AC38" s="114"/>
    </row>
    <row r="39" spans="1:29" ht="13.5" customHeight="1">
      <c r="A39" s="161" t="s">
        <v>21</v>
      </c>
      <c r="B39" s="158">
        <f>G10+G25</f>
        <v>136</v>
      </c>
      <c r="C39" s="159">
        <f t="shared" si="17"/>
        <v>160</v>
      </c>
      <c r="D39" s="160">
        <f t="shared" si="18"/>
        <v>136</v>
      </c>
      <c r="E39" s="114"/>
      <c r="F39" s="120"/>
      <c r="G39" s="114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X39" s="120"/>
      <c r="Y39" s="120"/>
      <c r="Z39" s="120"/>
      <c r="AA39" s="148"/>
      <c r="AB39" s="120"/>
      <c r="AC39" s="114"/>
    </row>
    <row r="40" spans="1:29" ht="13.5" hidden="1" customHeight="1">
      <c r="A40" s="152"/>
      <c r="B40" s="153">
        <f>G11+G26</f>
        <v>0</v>
      </c>
      <c r="C40" s="154">
        <f t="shared" ref="C40:D43" si="19">B40</f>
        <v>0</v>
      </c>
      <c r="D40" s="155">
        <f t="shared" si="19"/>
        <v>0</v>
      </c>
      <c r="F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0"/>
      <c r="Y40" s="120"/>
      <c r="Z40" s="120"/>
      <c r="AA40" s="148"/>
      <c r="AB40" s="120"/>
      <c r="AC40" s="114"/>
    </row>
    <row r="41" spans="1:29" ht="13.5" hidden="1" customHeight="1">
      <c r="A41" s="152"/>
      <c r="B41" s="153">
        <f>G12+G27</f>
        <v>0</v>
      </c>
      <c r="C41" s="154">
        <f t="shared" si="19"/>
        <v>0</v>
      </c>
      <c r="D41" s="155">
        <f t="shared" si="19"/>
        <v>0</v>
      </c>
      <c r="F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0"/>
      <c r="Y41" s="120"/>
      <c r="Z41" s="120"/>
      <c r="AA41" s="148"/>
      <c r="AB41" s="120"/>
      <c r="AC41" s="114"/>
    </row>
    <row r="42" spans="1:29" ht="13.5" hidden="1" customHeight="1">
      <c r="A42" s="152"/>
      <c r="B42" s="153">
        <f>G13+G28</f>
        <v>0</v>
      </c>
      <c r="C42" s="154">
        <f t="shared" si="19"/>
        <v>0</v>
      </c>
      <c r="D42" s="155">
        <f t="shared" si="19"/>
        <v>0</v>
      </c>
      <c r="F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0"/>
      <c r="Y42" s="120"/>
      <c r="Z42" s="120"/>
      <c r="AA42" s="148"/>
      <c r="AB42" s="120"/>
      <c r="AC42" s="114"/>
    </row>
    <row r="43" spans="1:29" ht="13.5" hidden="1" customHeight="1">
      <c r="A43" s="162"/>
      <c r="B43" s="158">
        <f>G14+G29</f>
        <v>0</v>
      </c>
      <c r="C43" s="159">
        <f t="shared" si="19"/>
        <v>0</v>
      </c>
      <c r="D43" s="160">
        <f t="shared" si="19"/>
        <v>0</v>
      </c>
      <c r="F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0"/>
      <c r="Y43" s="120"/>
      <c r="Z43" s="120"/>
      <c r="AA43" s="148"/>
      <c r="AB43" s="120"/>
      <c r="AC43" s="114"/>
    </row>
    <row r="44" spans="1:29" ht="12.75" customHeight="1">
      <c r="A44" s="120"/>
      <c r="B44" s="120"/>
      <c r="C44" s="120"/>
      <c r="D44" s="120"/>
      <c r="E44" s="163"/>
      <c r="F44" s="163"/>
      <c r="G44" s="163"/>
      <c r="H44" s="120"/>
      <c r="I44" s="120"/>
      <c r="J44" s="120"/>
      <c r="K44" s="120"/>
      <c r="L44" s="120"/>
      <c r="M44" s="120"/>
      <c r="N44" s="120"/>
      <c r="O44" s="120"/>
      <c r="P44" s="120"/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48"/>
      <c r="AB44" s="120"/>
      <c r="AC44" s="114"/>
    </row>
    <row r="45" spans="1:29" ht="12.75" customHeight="1">
      <c r="A45" s="120"/>
      <c r="B45" s="120"/>
      <c r="C45" s="120"/>
      <c r="D45" s="120"/>
      <c r="E45" s="163"/>
      <c r="F45" s="163"/>
      <c r="G45" s="163"/>
      <c r="H45" s="120"/>
      <c r="I45" s="120"/>
      <c r="J45" s="120"/>
      <c r="K45" s="120"/>
      <c r="L45" s="120"/>
      <c r="M45" s="120"/>
      <c r="N45" s="120"/>
      <c r="O45" s="120"/>
      <c r="P45" s="120"/>
      <c r="Q45" s="120"/>
      <c r="R45" s="120"/>
      <c r="S45" s="120"/>
      <c r="T45" s="120"/>
      <c r="U45" s="120"/>
      <c r="V45" s="120"/>
      <c r="W45" s="120"/>
      <c r="X45" s="120"/>
      <c r="Y45" s="120"/>
      <c r="Z45" s="120"/>
      <c r="AA45" s="148"/>
      <c r="AB45" s="120"/>
      <c r="AC45" s="114"/>
    </row>
    <row r="46" spans="1:29" ht="14.25" customHeight="1">
      <c r="A46" s="254" t="s">
        <v>0</v>
      </c>
      <c r="B46" s="255"/>
      <c r="C46" s="256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X46" s="120"/>
      <c r="Y46" s="120"/>
      <c r="Z46" s="120"/>
      <c r="AA46" s="148"/>
      <c r="AB46" s="120"/>
      <c r="AC46" s="114"/>
    </row>
    <row r="47" spans="1:29" ht="12.75" customHeight="1">
      <c r="A47" s="164" t="s">
        <v>26</v>
      </c>
      <c r="B47" s="165" t="s">
        <v>27</v>
      </c>
      <c r="C47" s="166" t="s">
        <v>28</v>
      </c>
      <c r="D47" s="120"/>
      <c r="E47" s="120"/>
      <c r="F47" s="120"/>
      <c r="G47" s="114"/>
      <c r="H47" s="119"/>
      <c r="I47" s="119"/>
      <c r="J47" s="119"/>
      <c r="K47" s="119"/>
      <c r="L47" s="119"/>
      <c r="M47" s="119"/>
      <c r="N47" s="119"/>
      <c r="O47" s="119"/>
      <c r="P47" s="119"/>
      <c r="Q47" s="119"/>
      <c r="R47" s="119"/>
      <c r="S47" s="120"/>
      <c r="T47" s="120"/>
      <c r="U47" s="120"/>
      <c r="V47" s="120"/>
      <c r="W47" s="120"/>
      <c r="X47" s="120"/>
      <c r="Y47" s="120"/>
      <c r="Z47" s="120"/>
      <c r="AA47" s="148"/>
      <c r="AB47" s="120"/>
      <c r="AC47" s="114"/>
    </row>
    <row r="48" spans="1:29" ht="12.75" customHeight="1">
      <c r="A48" s="167" t="s">
        <v>29</v>
      </c>
      <c r="B48" s="168">
        <v>10</v>
      </c>
      <c r="C48" s="168">
        <f>B48*8</f>
        <v>80</v>
      </c>
      <c r="D48" s="120"/>
      <c r="E48" s="120"/>
      <c r="F48" s="120"/>
      <c r="G48" s="120"/>
      <c r="H48" s="114"/>
      <c r="I48" s="169"/>
      <c r="J48" s="169"/>
      <c r="K48" s="169"/>
      <c r="L48" s="169"/>
      <c r="M48" s="169"/>
      <c r="N48" s="169"/>
      <c r="O48" s="169"/>
      <c r="P48" s="114"/>
      <c r="Q48" s="114"/>
      <c r="R48" s="114"/>
      <c r="S48" s="120"/>
      <c r="T48" s="120"/>
      <c r="U48" s="120"/>
      <c r="V48" s="120"/>
      <c r="W48" s="120"/>
      <c r="X48" s="120"/>
      <c r="Y48" s="120"/>
      <c r="Z48" s="120"/>
      <c r="AA48" s="148"/>
      <c r="AB48" s="120"/>
      <c r="AC48" s="114"/>
    </row>
    <row r="49" spans="1:29" ht="12.75" customHeight="1">
      <c r="A49" s="156" t="s">
        <v>30</v>
      </c>
      <c r="B49" s="170">
        <v>0</v>
      </c>
      <c r="C49" s="171">
        <f>B49*8</f>
        <v>0</v>
      </c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0"/>
      <c r="R49" s="120"/>
      <c r="S49" s="120"/>
      <c r="T49" s="120"/>
      <c r="U49" s="120"/>
      <c r="V49" s="120"/>
      <c r="W49" s="120"/>
      <c r="X49" s="120"/>
      <c r="Y49" s="120"/>
      <c r="Z49" s="120"/>
      <c r="AA49" s="148"/>
      <c r="AB49" s="120"/>
      <c r="AC49" s="114"/>
    </row>
    <row r="50" spans="1:29" ht="12.75" customHeight="1">
      <c r="A50" s="157" t="s">
        <v>31</v>
      </c>
      <c r="B50" s="172">
        <f t="shared" ref="B50:C50" si="20">B48-B49</f>
        <v>10</v>
      </c>
      <c r="C50" s="173">
        <f t="shared" si="20"/>
        <v>80</v>
      </c>
      <c r="D50" s="120"/>
      <c r="E50" s="120"/>
      <c r="F50" s="120"/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48"/>
      <c r="AB50" s="120"/>
      <c r="AC50" s="114"/>
    </row>
    <row r="51" spans="1:29" ht="12.75" customHeight="1">
      <c r="A51" s="120"/>
      <c r="B51" s="120"/>
      <c r="C51" s="120"/>
      <c r="D51" s="120"/>
      <c r="E51" s="120"/>
      <c r="F51" s="120"/>
      <c r="G51" s="120"/>
      <c r="H51" s="120"/>
      <c r="I51" s="120"/>
      <c r="J51" s="120"/>
      <c r="K51" s="120"/>
      <c r="L51" s="120"/>
      <c r="M51" s="120"/>
      <c r="N51" s="120"/>
      <c r="O51" s="120"/>
      <c r="P51" s="120"/>
      <c r="Q51" s="120"/>
      <c r="R51" s="120"/>
      <c r="S51" s="120"/>
      <c r="T51" s="120"/>
      <c r="U51" s="120"/>
      <c r="V51" s="120"/>
      <c r="W51" s="120"/>
      <c r="X51" s="120"/>
      <c r="Y51" s="120"/>
      <c r="Z51" s="120"/>
      <c r="AA51" s="148"/>
      <c r="AB51" s="120"/>
      <c r="AC51" s="114"/>
    </row>
    <row r="52" spans="1:29" ht="12.75" customHeight="1">
      <c r="A52" s="120"/>
      <c r="B52" s="120"/>
      <c r="C52" s="120"/>
      <c r="D52" s="120"/>
      <c r="E52" s="120"/>
      <c r="F52" s="120"/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48"/>
      <c r="AB52" s="120"/>
      <c r="AC52" s="114"/>
    </row>
    <row r="53" spans="1:29" ht="14.25" customHeight="1">
      <c r="A53" s="254" t="s">
        <v>22</v>
      </c>
      <c r="B53" s="255"/>
      <c r="C53" s="256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48"/>
      <c r="AB53" s="120"/>
      <c r="AC53" s="114"/>
    </row>
    <row r="54" spans="1:29" ht="12.75" customHeight="1">
      <c r="A54" s="164" t="s">
        <v>26</v>
      </c>
      <c r="B54" s="165" t="s">
        <v>27</v>
      </c>
      <c r="C54" s="166" t="s">
        <v>28</v>
      </c>
      <c r="D54" s="120"/>
      <c r="E54" s="120"/>
      <c r="F54" s="120"/>
      <c r="G54" s="120"/>
      <c r="H54" s="120"/>
      <c r="I54" s="120"/>
      <c r="J54" s="120"/>
      <c r="K54" s="120"/>
      <c r="L54" s="120"/>
      <c r="M54" s="120"/>
      <c r="N54" s="120"/>
      <c r="O54" s="120"/>
      <c r="P54" s="120"/>
      <c r="Q54" s="120"/>
      <c r="R54" s="120"/>
      <c r="S54" s="120"/>
      <c r="T54" s="120"/>
      <c r="U54" s="120"/>
      <c r="V54" s="120"/>
      <c r="W54" s="120"/>
      <c r="X54" s="120"/>
      <c r="Y54" s="120"/>
      <c r="Z54" s="120"/>
      <c r="AA54" s="148"/>
      <c r="AB54" s="120"/>
      <c r="AC54" s="114"/>
    </row>
    <row r="55" spans="1:29" ht="12.75" customHeight="1">
      <c r="A55" s="174" t="s">
        <v>29</v>
      </c>
      <c r="B55" s="168">
        <v>11</v>
      </c>
      <c r="C55" s="171">
        <f t="shared" ref="C55:C56" si="21">B55*8</f>
        <v>88</v>
      </c>
      <c r="D55" s="120"/>
      <c r="E55" s="120"/>
      <c r="F55" s="120"/>
      <c r="G55" s="120"/>
      <c r="H55" s="120"/>
      <c r="I55" s="120"/>
      <c r="J55" s="120"/>
      <c r="K55" s="120"/>
      <c r="L55" s="120"/>
      <c r="M55" s="120"/>
      <c r="N55" s="120"/>
      <c r="O55" s="120"/>
      <c r="P55" s="120"/>
      <c r="Q55" s="120"/>
      <c r="R55" s="120"/>
      <c r="S55" s="120"/>
      <c r="T55" s="120"/>
      <c r="U55" s="120"/>
      <c r="V55" s="120"/>
      <c r="W55" s="120"/>
      <c r="X55" s="120"/>
      <c r="Y55" s="120"/>
      <c r="Z55" s="120"/>
      <c r="AA55" s="148"/>
      <c r="AB55" s="120"/>
      <c r="AC55" s="114"/>
    </row>
    <row r="56" spans="1:29" ht="12.75" customHeight="1">
      <c r="A56" s="174" t="s">
        <v>30</v>
      </c>
      <c r="B56" s="175">
        <v>1</v>
      </c>
      <c r="C56" s="171">
        <f t="shared" si="21"/>
        <v>8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48"/>
      <c r="AB56" s="120"/>
      <c r="AC56" s="114"/>
    </row>
    <row r="57" spans="1:29" ht="12.75" customHeight="1">
      <c r="A57" s="176" t="s">
        <v>31</v>
      </c>
      <c r="B57" s="172">
        <f t="shared" ref="B57:C57" si="22">B55-B56</f>
        <v>10</v>
      </c>
      <c r="C57" s="173">
        <f t="shared" si="22"/>
        <v>80</v>
      </c>
      <c r="D57" s="120"/>
      <c r="E57" s="120"/>
      <c r="F57" s="120"/>
      <c r="G57" s="120"/>
      <c r="H57" s="120"/>
      <c r="I57" s="120"/>
      <c r="J57" s="120"/>
      <c r="K57" s="120"/>
      <c r="L57" s="120"/>
      <c r="M57" s="120"/>
      <c r="N57" s="120"/>
      <c r="O57" s="120"/>
      <c r="P57" s="120"/>
      <c r="Q57" s="120"/>
      <c r="R57" s="120"/>
      <c r="S57" s="120"/>
      <c r="T57" s="120"/>
      <c r="U57" s="120"/>
      <c r="V57" s="120"/>
      <c r="W57" s="120"/>
      <c r="X57" s="120"/>
      <c r="Y57" s="120"/>
      <c r="Z57" s="120"/>
      <c r="AA57" s="148"/>
      <c r="AB57" s="120"/>
      <c r="AC57" s="114"/>
    </row>
    <row r="58" spans="1:29" ht="12.75" customHeight="1">
      <c r="A58" s="120"/>
      <c r="B58" s="120"/>
      <c r="C58" s="120"/>
      <c r="D58" s="120"/>
      <c r="E58" s="120"/>
      <c r="F58" s="120"/>
      <c r="G58" s="120"/>
      <c r="H58" s="120"/>
      <c r="I58" s="120"/>
      <c r="J58" s="120"/>
      <c r="K58" s="120"/>
      <c r="L58" s="120"/>
      <c r="M58" s="120"/>
      <c r="N58" s="120"/>
      <c r="O58" s="120"/>
      <c r="P58" s="120"/>
      <c r="Q58" s="120"/>
      <c r="R58" s="120"/>
      <c r="S58" s="120"/>
      <c r="T58" s="120"/>
      <c r="U58" s="120"/>
      <c r="V58" s="120"/>
      <c r="W58" s="120"/>
      <c r="X58" s="120"/>
      <c r="Y58" s="120"/>
      <c r="Z58" s="120"/>
      <c r="AA58" s="148"/>
      <c r="AB58" s="120"/>
      <c r="AC58" s="114"/>
    </row>
    <row r="59" spans="1:29" ht="12.75" customHeight="1">
      <c r="A59" s="120"/>
      <c r="B59" s="177" t="s">
        <v>32</v>
      </c>
      <c r="C59" s="178">
        <f>C50+C57</f>
        <v>160</v>
      </c>
      <c r="D59" s="120"/>
      <c r="E59" s="120"/>
      <c r="F59" s="120"/>
      <c r="G59" s="120"/>
      <c r="H59" s="120"/>
      <c r="I59" s="120"/>
      <c r="J59" s="120"/>
      <c r="K59" s="120"/>
      <c r="L59" s="120"/>
      <c r="M59" s="120"/>
      <c r="N59" s="120"/>
      <c r="O59" s="120"/>
      <c r="P59" s="120"/>
      <c r="Q59" s="120"/>
      <c r="R59" s="120"/>
      <c r="S59" s="120"/>
      <c r="T59" s="120"/>
      <c r="U59" s="120"/>
      <c r="V59" s="120"/>
      <c r="W59" s="120"/>
      <c r="X59" s="120"/>
      <c r="Y59" s="120"/>
      <c r="Z59" s="120"/>
      <c r="AA59" s="148"/>
      <c r="AB59" s="120"/>
      <c r="AC59" s="114"/>
    </row>
    <row r="60" spans="1:29" ht="12.75" customHeight="1">
      <c r="A60" s="120"/>
      <c r="B60" s="120"/>
      <c r="C60" s="120"/>
      <c r="D60" s="120"/>
      <c r="E60" s="120"/>
      <c r="F60" s="120"/>
      <c r="G60" s="120"/>
      <c r="H60" s="120"/>
      <c r="I60" s="120"/>
      <c r="J60" s="120"/>
      <c r="K60" s="120"/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48"/>
      <c r="AB60" s="120"/>
      <c r="AC60" s="114"/>
    </row>
    <row r="61" spans="1:29" ht="12.75" customHeight="1">
      <c r="A61" s="120"/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48"/>
      <c r="AB61" s="120"/>
      <c r="AC61" s="114"/>
    </row>
    <row r="62" spans="1:29" ht="12.75" customHeight="1">
      <c r="A62" s="120"/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X62" s="120"/>
      <c r="Y62" s="120"/>
      <c r="Z62" s="120"/>
      <c r="AA62" s="148"/>
      <c r="AB62" s="120"/>
      <c r="AC62" s="114"/>
    </row>
    <row r="63" spans="1:29" ht="12.75" customHeight="1">
      <c r="A63" s="120"/>
      <c r="B63" s="120"/>
      <c r="C63" s="179"/>
      <c r="D63" s="120"/>
      <c r="E63" s="120"/>
      <c r="F63" s="120"/>
      <c r="G63" s="120"/>
      <c r="H63" s="120"/>
      <c r="I63" s="120"/>
      <c r="J63" s="120"/>
      <c r="K63" s="120"/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48"/>
      <c r="AB63" s="120"/>
      <c r="AC63" s="114"/>
    </row>
    <row r="64" spans="1:29" ht="12.75" customHeight="1">
      <c r="A64" s="120"/>
      <c r="B64" s="120"/>
      <c r="C64" s="179"/>
      <c r="D64" s="120"/>
      <c r="E64" s="120"/>
      <c r="F64" s="120"/>
      <c r="G64" s="120"/>
      <c r="H64" s="120"/>
      <c r="I64" s="120"/>
      <c r="J64" s="120"/>
      <c r="K64" s="120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48"/>
      <c r="AB64" s="120"/>
      <c r="AC64" s="114"/>
    </row>
    <row r="65" spans="1:29" ht="12.75" customHeight="1">
      <c r="A65" s="120"/>
      <c r="B65" s="120"/>
      <c r="C65" s="179"/>
      <c r="D65" s="120"/>
      <c r="E65" s="120"/>
      <c r="F65" s="120"/>
      <c r="G65" s="120"/>
      <c r="H65" s="120"/>
      <c r="I65" s="120"/>
      <c r="J65" s="120"/>
      <c r="K65" s="120"/>
      <c r="L65" s="120"/>
      <c r="M65" s="120"/>
      <c r="N65" s="120"/>
      <c r="O65" s="120"/>
      <c r="P65" s="120"/>
      <c r="Q65" s="120"/>
      <c r="R65" s="120"/>
      <c r="S65" s="120"/>
      <c r="T65" s="120"/>
      <c r="U65" s="120"/>
      <c r="V65" s="120"/>
      <c r="W65" s="120"/>
      <c r="X65" s="120"/>
      <c r="Y65" s="120"/>
      <c r="Z65" s="120"/>
      <c r="AA65" s="148"/>
      <c r="AB65" s="120"/>
      <c r="AC65" s="114"/>
    </row>
    <row r="66" spans="1:29" ht="12.75" customHeight="1">
      <c r="A66" s="120"/>
      <c r="B66" s="120"/>
      <c r="C66" s="179"/>
      <c r="D66" s="120"/>
      <c r="E66" s="120"/>
      <c r="F66" s="120"/>
      <c r="G66" s="120"/>
      <c r="H66" s="120"/>
      <c r="I66" s="120"/>
      <c r="J66" s="120"/>
      <c r="K66" s="120"/>
      <c r="L66" s="120"/>
      <c r="M66" s="120"/>
      <c r="N66" s="120"/>
      <c r="O66" s="120"/>
      <c r="P66" s="120"/>
      <c r="Q66" s="120"/>
      <c r="R66" s="120"/>
      <c r="S66" s="120"/>
      <c r="T66" s="120"/>
      <c r="U66" s="120"/>
      <c r="V66" s="120"/>
      <c r="W66" s="120"/>
      <c r="X66" s="120"/>
      <c r="Y66" s="120"/>
      <c r="Z66" s="120"/>
      <c r="AA66" s="148"/>
      <c r="AB66" s="120"/>
      <c r="AC66" s="114"/>
    </row>
    <row r="67" spans="1:29" ht="12.75" customHeight="1">
      <c r="A67" s="120"/>
      <c r="B67" s="120"/>
      <c r="C67" s="120"/>
      <c r="D67" s="120"/>
      <c r="E67" s="120"/>
      <c r="F67" s="120"/>
      <c r="G67" s="120"/>
      <c r="H67" s="120"/>
      <c r="I67" s="120"/>
      <c r="J67" s="120"/>
      <c r="K67" s="120"/>
      <c r="L67" s="120"/>
      <c r="M67" s="120"/>
      <c r="N67" s="120"/>
      <c r="O67" s="120"/>
      <c r="P67" s="120"/>
      <c r="Q67" s="120"/>
      <c r="R67" s="120"/>
      <c r="S67" s="120"/>
      <c r="T67" s="120"/>
      <c r="U67" s="120"/>
      <c r="V67" s="120"/>
      <c r="W67" s="120"/>
      <c r="X67" s="120"/>
      <c r="Y67" s="120"/>
      <c r="Z67" s="120"/>
      <c r="AA67" s="148"/>
      <c r="AB67" s="120"/>
      <c r="AC67" s="114"/>
    </row>
    <row r="68" spans="1:29" ht="12.75" customHeight="1">
      <c r="A68" s="120"/>
      <c r="B68" s="120"/>
      <c r="C68" s="120"/>
      <c r="D68" s="120"/>
      <c r="E68" s="120"/>
      <c r="F68" s="120"/>
      <c r="G68" s="120"/>
      <c r="H68" s="120"/>
      <c r="I68" s="120"/>
      <c r="J68" s="120"/>
      <c r="K68" s="120"/>
      <c r="L68" s="120"/>
      <c r="M68" s="120"/>
      <c r="N68" s="120"/>
      <c r="O68" s="120"/>
      <c r="P68" s="120"/>
      <c r="Q68" s="120"/>
      <c r="R68" s="120"/>
      <c r="S68" s="120"/>
      <c r="T68" s="120"/>
      <c r="U68" s="120"/>
      <c r="V68" s="120"/>
      <c r="W68" s="120"/>
      <c r="X68" s="120"/>
      <c r="Y68" s="120"/>
      <c r="Z68" s="120"/>
      <c r="AA68" s="148"/>
      <c r="AB68" s="120"/>
      <c r="AC68" s="114"/>
    </row>
    <row r="69" spans="1:29" ht="12.75" customHeight="1">
      <c r="A69" s="120"/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X69" s="120"/>
      <c r="Y69" s="120"/>
      <c r="Z69" s="120"/>
      <c r="AA69" s="148"/>
      <c r="AB69" s="120"/>
      <c r="AC69" s="114"/>
    </row>
    <row r="70" spans="1:29" ht="12.75" customHeight="1">
      <c r="A70" s="120"/>
      <c r="B70" s="120"/>
      <c r="C70" s="120"/>
      <c r="D70" s="120"/>
      <c r="E70" s="120"/>
      <c r="F70" s="120"/>
      <c r="G70" s="120"/>
      <c r="H70" s="120"/>
      <c r="I70" s="120"/>
      <c r="J70" s="120"/>
      <c r="K70" s="120"/>
      <c r="L70" s="120"/>
      <c r="M70" s="120"/>
      <c r="N70" s="120"/>
      <c r="O70" s="120"/>
      <c r="P70" s="120"/>
      <c r="Q70" s="120"/>
      <c r="R70" s="120"/>
      <c r="S70" s="120"/>
      <c r="T70" s="120"/>
      <c r="U70" s="120"/>
      <c r="V70" s="120"/>
      <c r="W70" s="120"/>
      <c r="X70" s="120"/>
      <c r="Y70" s="120"/>
      <c r="Z70" s="120"/>
      <c r="AA70" s="148"/>
      <c r="AB70" s="120"/>
      <c r="AC70" s="114"/>
    </row>
    <row r="71" spans="1:29" ht="12.75" customHeight="1">
      <c r="A71" s="120"/>
      <c r="B71" s="120"/>
      <c r="C71" s="120"/>
      <c r="D71" s="120"/>
      <c r="E71" s="120"/>
      <c r="F71" s="120"/>
      <c r="G71" s="120"/>
      <c r="H71" s="120"/>
      <c r="I71" s="120"/>
      <c r="J71" s="120"/>
      <c r="K71" s="120"/>
      <c r="L71" s="120"/>
      <c r="M71" s="120"/>
      <c r="N71" s="120"/>
      <c r="O71" s="120"/>
      <c r="P71" s="120"/>
      <c r="Q71" s="120"/>
      <c r="R71" s="120"/>
      <c r="S71" s="120"/>
      <c r="T71" s="120"/>
      <c r="U71" s="120"/>
      <c r="V71" s="120"/>
      <c r="W71" s="120"/>
      <c r="X71" s="120"/>
      <c r="Y71" s="120"/>
      <c r="Z71" s="120"/>
      <c r="AA71" s="148"/>
      <c r="AB71" s="120"/>
      <c r="AC71" s="114"/>
    </row>
    <row r="72" spans="1:29" ht="12.75" customHeight="1">
      <c r="A72" s="120"/>
      <c r="B72" s="120"/>
      <c r="C72" s="120"/>
      <c r="D72" s="120"/>
      <c r="E72" s="120"/>
      <c r="F72" s="120"/>
      <c r="G72" s="120"/>
      <c r="H72" s="120"/>
      <c r="I72" s="120"/>
      <c r="J72" s="120"/>
      <c r="K72" s="120"/>
      <c r="L72" s="120"/>
      <c r="M72" s="120"/>
      <c r="N72" s="120"/>
      <c r="O72" s="120"/>
      <c r="P72" s="120"/>
      <c r="Q72" s="120"/>
      <c r="R72" s="120"/>
      <c r="S72" s="120"/>
      <c r="T72" s="120"/>
      <c r="U72" s="120"/>
      <c r="V72" s="120"/>
      <c r="W72" s="120"/>
      <c r="X72" s="120"/>
      <c r="Y72" s="120"/>
      <c r="Z72" s="120"/>
      <c r="AA72" s="148"/>
      <c r="AB72" s="120"/>
      <c r="AC72" s="114"/>
    </row>
    <row r="73" spans="1:29" ht="12.75" customHeight="1">
      <c r="A73" s="120"/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X73" s="120"/>
      <c r="Y73" s="120"/>
      <c r="Z73" s="120"/>
      <c r="AA73" s="148"/>
      <c r="AB73" s="120"/>
      <c r="AC73" s="114"/>
    </row>
    <row r="74" spans="1:29" ht="12.75" customHeight="1">
      <c r="A74" s="120"/>
      <c r="B74" s="120"/>
      <c r="C74" s="120"/>
      <c r="D74" s="120"/>
      <c r="E74" s="120"/>
      <c r="F74" s="120"/>
      <c r="G74" s="120"/>
      <c r="H74" s="120"/>
      <c r="I74" s="120"/>
      <c r="J74" s="120"/>
      <c r="K74" s="120"/>
      <c r="L74" s="120"/>
      <c r="M74" s="120"/>
      <c r="N74" s="120"/>
      <c r="O74" s="120"/>
      <c r="P74" s="120"/>
      <c r="Q74" s="120"/>
      <c r="R74" s="120"/>
      <c r="S74" s="120"/>
      <c r="T74" s="120"/>
      <c r="U74" s="120"/>
      <c r="V74" s="120"/>
      <c r="W74" s="120"/>
      <c r="X74" s="120"/>
      <c r="Y74" s="120"/>
      <c r="Z74" s="120"/>
      <c r="AA74" s="148"/>
      <c r="AB74" s="120"/>
      <c r="AC74" s="114"/>
    </row>
    <row r="75" spans="1:29" ht="12.75" customHeight="1">
      <c r="A75" s="120"/>
      <c r="B75" s="120"/>
      <c r="C75" s="120"/>
      <c r="D75" s="120"/>
      <c r="E75" s="120"/>
      <c r="F75" s="120"/>
      <c r="G75" s="120"/>
      <c r="H75" s="120"/>
      <c r="I75" s="120"/>
      <c r="J75" s="120"/>
      <c r="K75" s="120"/>
      <c r="L75" s="120"/>
      <c r="M75" s="120"/>
      <c r="N75" s="120"/>
      <c r="O75" s="120"/>
      <c r="P75" s="120"/>
      <c r="Q75" s="120"/>
      <c r="R75" s="120"/>
      <c r="S75" s="120"/>
      <c r="T75" s="120"/>
      <c r="U75" s="120"/>
      <c r="V75" s="120"/>
      <c r="W75" s="120"/>
      <c r="X75" s="120"/>
      <c r="Y75" s="120"/>
      <c r="Z75" s="120"/>
      <c r="AA75" s="148"/>
      <c r="AB75" s="120"/>
      <c r="AC75" s="114"/>
    </row>
    <row r="76" spans="1:29" ht="12.75" customHeight="1">
      <c r="A76" s="120"/>
      <c r="B76" s="120"/>
      <c r="C76" s="120"/>
      <c r="D76" s="120"/>
      <c r="E76" s="120"/>
      <c r="F76" s="120"/>
      <c r="G76" s="120"/>
      <c r="H76" s="120"/>
      <c r="I76" s="120"/>
      <c r="J76" s="120"/>
      <c r="K76" s="120"/>
      <c r="L76" s="120"/>
      <c r="M76" s="120"/>
      <c r="N76" s="120"/>
      <c r="O76" s="120"/>
      <c r="P76" s="120"/>
      <c r="Q76" s="120"/>
      <c r="R76" s="120"/>
      <c r="S76" s="120"/>
      <c r="T76" s="120"/>
      <c r="U76" s="120"/>
      <c r="V76" s="120"/>
      <c r="W76" s="120"/>
      <c r="X76" s="120"/>
      <c r="Y76" s="120"/>
      <c r="Z76" s="120"/>
      <c r="AA76" s="148"/>
      <c r="AB76" s="120"/>
      <c r="AC76" s="114"/>
    </row>
    <row r="77" spans="1:29" ht="12.75" customHeight="1">
      <c r="A77" s="120"/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X77" s="120"/>
      <c r="Y77" s="120"/>
      <c r="Z77" s="120"/>
      <c r="AA77" s="148"/>
      <c r="AB77" s="120"/>
      <c r="AC77" s="114"/>
    </row>
    <row r="78" spans="1:29" ht="12.75" customHeight="1">
      <c r="A78" s="120"/>
      <c r="B78" s="120"/>
      <c r="C78" s="120"/>
      <c r="D78" s="120"/>
      <c r="E78" s="120"/>
      <c r="F78" s="120"/>
      <c r="G78" s="120"/>
      <c r="H78" s="120"/>
      <c r="I78" s="120"/>
      <c r="J78" s="120"/>
      <c r="K78" s="120"/>
      <c r="L78" s="120"/>
      <c r="M78" s="120"/>
      <c r="N78" s="120"/>
      <c r="O78" s="120"/>
      <c r="P78" s="120"/>
      <c r="Q78" s="120"/>
      <c r="R78" s="120"/>
      <c r="S78" s="120"/>
      <c r="T78" s="120"/>
      <c r="U78" s="120"/>
      <c r="V78" s="120"/>
      <c r="W78" s="120"/>
      <c r="X78" s="120"/>
      <c r="Y78" s="120"/>
      <c r="Z78" s="120"/>
      <c r="AA78" s="114"/>
      <c r="AB78" s="120"/>
      <c r="AC78" s="114"/>
    </row>
    <row r="79" spans="1:29" ht="12.75" customHeight="1">
      <c r="A79" s="120"/>
      <c r="B79" s="120"/>
      <c r="C79" s="120"/>
      <c r="D79" s="120"/>
      <c r="E79" s="120"/>
      <c r="F79" s="120"/>
      <c r="G79" s="120"/>
      <c r="H79" s="120"/>
      <c r="I79" s="120"/>
      <c r="J79" s="120"/>
      <c r="K79" s="120"/>
      <c r="L79" s="120"/>
      <c r="M79" s="120"/>
      <c r="N79" s="120"/>
      <c r="O79" s="120"/>
      <c r="P79" s="120"/>
      <c r="Q79" s="120"/>
      <c r="R79" s="120"/>
      <c r="S79" s="120"/>
      <c r="T79" s="120"/>
      <c r="U79" s="120"/>
      <c r="V79" s="120"/>
      <c r="W79" s="120"/>
      <c r="X79" s="120"/>
      <c r="Y79" s="120"/>
      <c r="Z79" s="120"/>
      <c r="AA79" s="114"/>
      <c r="AB79" s="114"/>
      <c r="AC79" s="114"/>
    </row>
    <row r="80" spans="1:29" ht="12.75" customHeight="1">
      <c r="A80" s="114"/>
      <c r="B80" s="114"/>
      <c r="C80" s="114"/>
      <c r="D80" s="114"/>
      <c r="E80" s="120"/>
      <c r="F80" s="120"/>
      <c r="G80" s="120"/>
      <c r="H80" s="120"/>
      <c r="I80" s="120"/>
      <c r="J80" s="120"/>
      <c r="K80" s="120"/>
      <c r="L80" s="120"/>
      <c r="M80" s="120"/>
      <c r="N80" s="120"/>
      <c r="O80" s="120"/>
      <c r="P80" s="120"/>
      <c r="Q80" s="120"/>
      <c r="R80" s="120"/>
      <c r="S80" s="120"/>
      <c r="T80" s="120"/>
      <c r="U80" s="120"/>
      <c r="V80" s="120"/>
      <c r="W80" s="120"/>
      <c r="X80" s="120"/>
      <c r="Y80" s="120"/>
      <c r="Z80" s="120"/>
      <c r="AA80" s="114"/>
      <c r="AB80" s="114"/>
      <c r="AC80" s="114"/>
    </row>
    <row r="81" spans="1:29" ht="12.75" customHeight="1">
      <c r="A81" s="114"/>
      <c r="B81" s="114"/>
      <c r="C81" s="114"/>
      <c r="D81" s="114"/>
      <c r="E81" s="114"/>
      <c r="F81" s="114"/>
      <c r="G81" s="114"/>
      <c r="H81" s="114"/>
      <c r="I81" s="114"/>
      <c r="J81" s="114"/>
      <c r="K81" s="114"/>
      <c r="L81" s="114"/>
      <c r="M81" s="114"/>
      <c r="N81" s="114"/>
      <c r="O81" s="114"/>
      <c r="P81" s="114"/>
      <c r="Q81" s="114"/>
      <c r="R81" s="114"/>
      <c r="S81" s="114"/>
      <c r="T81" s="114"/>
      <c r="U81" s="114"/>
      <c r="V81" s="114"/>
      <c r="W81" s="114"/>
      <c r="X81" s="114"/>
      <c r="Y81" s="114"/>
      <c r="Z81" s="114"/>
      <c r="AA81" s="114"/>
      <c r="AB81" s="114"/>
      <c r="AC81" s="114"/>
    </row>
    <row r="260" ht="13"/>
    <row r="261" ht="13"/>
    <row r="262" ht="13"/>
    <row r="263" ht="13"/>
    <row r="264" ht="13"/>
    <row r="265" ht="13"/>
    <row r="266" ht="13"/>
    <row r="267" ht="13"/>
    <row r="268" ht="13"/>
    <row r="269" ht="13"/>
    <row r="270" ht="13"/>
    <row r="271" ht="13"/>
    <row r="272" ht="13"/>
    <row r="273" ht="13"/>
    <row r="274" ht="13"/>
    <row r="275" ht="13"/>
    <row r="276" ht="13"/>
    <row r="277" ht="13"/>
    <row r="278" ht="13"/>
    <row r="279" ht="13"/>
    <row r="280" ht="13"/>
    <row r="281" ht="13"/>
    <row r="282" ht="13"/>
    <row r="283" ht="13"/>
    <row r="284" ht="13"/>
    <row r="285" ht="13"/>
    <row r="286" ht="13"/>
    <row r="287" ht="13"/>
    <row r="288" ht="13"/>
    <row r="289" ht="13"/>
    <row r="290" ht="13"/>
    <row r="291" ht="13"/>
    <row r="292" ht="13"/>
    <row r="293" ht="13"/>
    <row r="294" ht="13"/>
    <row r="295" ht="13"/>
    <row r="296" ht="13"/>
    <row r="297" ht="13"/>
    <row r="298" ht="13"/>
    <row r="299" ht="13"/>
    <row r="300" ht="13"/>
    <row r="301" ht="13"/>
    <row r="302" ht="13"/>
    <row r="303" ht="13"/>
    <row r="304" ht="13"/>
    <row r="305" ht="13"/>
    <row r="306" ht="13"/>
    <row r="307" ht="13"/>
    <row r="308" ht="13"/>
    <row r="309" ht="13"/>
    <row r="310" ht="13"/>
    <row r="311" ht="13"/>
    <row r="312" ht="13"/>
    <row r="313" ht="13"/>
    <row r="314" ht="13"/>
    <row r="315" ht="13"/>
    <row r="316" ht="13"/>
    <row r="317" ht="13"/>
    <row r="318" ht="13"/>
    <row r="319" ht="13"/>
    <row r="320" ht="13"/>
    <row r="321" ht="13"/>
    <row r="322" ht="13"/>
    <row r="323" ht="13"/>
    <row r="324" ht="13"/>
    <row r="325" ht="13"/>
    <row r="326" ht="13"/>
    <row r="327" ht="13"/>
    <row r="328" ht="13"/>
    <row r="329" ht="13"/>
    <row r="330" ht="13"/>
    <row r="331" ht="13"/>
    <row r="332" ht="13"/>
    <row r="333" ht="13"/>
    <row r="334" ht="13"/>
    <row r="335" ht="13"/>
    <row r="336" ht="13"/>
    <row r="337" ht="13"/>
    <row r="338" ht="13"/>
    <row r="339" ht="13"/>
    <row r="340" ht="13"/>
    <row r="341" ht="13"/>
    <row r="342" ht="13"/>
    <row r="343" ht="13"/>
    <row r="344" ht="13"/>
    <row r="345" ht="13"/>
    <row r="346" ht="13"/>
    <row r="347" ht="13"/>
    <row r="348" ht="13"/>
    <row r="349" ht="13"/>
    <row r="350" ht="13"/>
    <row r="351" ht="13"/>
    <row r="352" ht="13"/>
    <row r="353" ht="13"/>
    <row r="354" ht="13"/>
    <row r="355" ht="13"/>
    <row r="356" ht="13"/>
    <row r="357" ht="13"/>
    <row r="358" ht="13"/>
    <row r="359" ht="13"/>
    <row r="360" ht="13"/>
    <row r="361" ht="13"/>
    <row r="362" ht="13"/>
    <row r="363" ht="13"/>
    <row r="364" ht="13"/>
    <row r="365" ht="13"/>
    <row r="366" ht="13"/>
    <row r="367" ht="13"/>
    <row r="368" ht="13"/>
    <row r="369" ht="13"/>
    <row r="370" ht="13"/>
    <row r="371" ht="13"/>
    <row r="372" ht="13"/>
    <row r="373" ht="13"/>
    <row r="374" ht="13"/>
    <row r="375" ht="13"/>
    <row r="376" ht="13"/>
    <row r="377" ht="13"/>
    <row r="378" ht="13"/>
    <row r="379" ht="13"/>
    <row r="380" ht="13"/>
    <row r="381" ht="13"/>
    <row r="382" ht="13"/>
    <row r="383" ht="13"/>
    <row r="384" ht="13"/>
    <row r="385" ht="13"/>
    <row r="386" ht="13"/>
    <row r="387" ht="13"/>
    <row r="388" ht="13"/>
    <row r="389" ht="13"/>
    <row r="390" ht="13"/>
    <row r="391" ht="13"/>
    <row r="392" ht="13"/>
    <row r="393" ht="13"/>
    <row r="394" ht="13"/>
    <row r="395" ht="13"/>
    <row r="396" ht="13"/>
    <row r="397" ht="13"/>
    <row r="398" ht="13"/>
    <row r="399" ht="13"/>
    <row r="400" ht="13"/>
    <row r="401" ht="13"/>
    <row r="402" ht="13"/>
    <row r="403" ht="13"/>
    <row r="404" ht="13"/>
    <row r="405" ht="13"/>
    <row r="406" ht="13"/>
    <row r="407" ht="13"/>
    <row r="408" ht="13"/>
    <row r="409" ht="13"/>
    <row r="410" ht="13"/>
    <row r="411" ht="13"/>
    <row r="412" ht="13"/>
    <row r="413" ht="13"/>
    <row r="414" ht="13"/>
    <row r="415" ht="13"/>
    <row r="416" ht="13"/>
    <row r="417" ht="13"/>
    <row r="418" ht="13"/>
    <row r="419" ht="13"/>
    <row r="420" ht="13"/>
    <row r="421" ht="13"/>
    <row r="422" ht="13"/>
    <row r="423" ht="13"/>
    <row r="424" ht="13"/>
    <row r="425" ht="13"/>
    <row r="426" ht="13"/>
    <row r="427" ht="13"/>
    <row r="428" ht="13"/>
    <row r="429" ht="13"/>
    <row r="430" ht="13"/>
    <row r="431" ht="13"/>
    <row r="432" ht="13"/>
    <row r="433" ht="13"/>
    <row r="434" ht="13"/>
    <row r="435" ht="13"/>
    <row r="436" ht="13"/>
    <row r="437" ht="13"/>
    <row r="438" ht="13"/>
    <row r="439" ht="13"/>
    <row r="440" ht="13"/>
    <row r="441" ht="13"/>
    <row r="442" ht="13"/>
    <row r="443" ht="13"/>
    <row r="444" ht="13"/>
    <row r="445" ht="13"/>
    <row r="446" ht="13"/>
    <row r="447" ht="13"/>
    <row r="448" ht="13"/>
    <row r="449" ht="13"/>
    <row r="450" ht="13"/>
    <row r="451" ht="13"/>
    <row r="452" ht="13"/>
    <row r="453" ht="13"/>
    <row r="454" ht="13"/>
    <row r="455" ht="13"/>
    <row r="456" ht="13"/>
    <row r="457" ht="13"/>
    <row r="458" ht="13"/>
    <row r="459" ht="13"/>
    <row r="460" ht="13"/>
    <row r="461" ht="13"/>
    <row r="462" ht="13"/>
    <row r="463" ht="13"/>
    <row r="464" ht="13"/>
    <row r="465" ht="13"/>
    <row r="466" ht="13"/>
    <row r="467" ht="13"/>
    <row r="468" ht="13"/>
    <row r="469" ht="13"/>
    <row r="470" ht="13"/>
    <row r="471" ht="13"/>
    <row r="472" ht="13"/>
    <row r="473" ht="13"/>
    <row r="474" ht="13"/>
    <row r="475" ht="13"/>
    <row r="476" ht="13"/>
    <row r="477" ht="13"/>
    <row r="478" ht="13"/>
    <row r="479" ht="13"/>
    <row r="480" ht="13"/>
    <row r="481" ht="13"/>
    <row r="482" ht="13"/>
    <row r="483" ht="13"/>
    <row r="484" ht="13"/>
    <row r="485" ht="13"/>
    <row r="486" ht="13"/>
    <row r="487" ht="13"/>
    <row r="488" ht="13"/>
    <row r="489" ht="13"/>
    <row r="490" ht="13"/>
    <row r="491" ht="13"/>
    <row r="492" ht="13"/>
    <row r="493" ht="13"/>
    <row r="494" ht="13"/>
    <row r="495" ht="13"/>
    <row r="496" ht="13"/>
    <row r="497" ht="13"/>
    <row r="498" ht="13"/>
    <row r="499" ht="13"/>
    <row r="500" ht="13"/>
    <row r="501" ht="13"/>
    <row r="502" ht="13"/>
    <row r="503" ht="13"/>
    <row r="504" ht="13"/>
    <row r="505" ht="13"/>
    <row r="506" ht="13"/>
    <row r="507" ht="13"/>
    <row r="508" ht="13"/>
    <row r="509" ht="13"/>
    <row r="510" ht="13"/>
    <row r="511" ht="13"/>
    <row r="512" ht="13"/>
    <row r="513" ht="13"/>
    <row r="514" ht="13"/>
    <row r="515" ht="13"/>
    <row r="516" ht="13"/>
    <row r="517" ht="13"/>
    <row r="518" ht="13"/>
    <row r="519" ht="13"/>
    <row r="520" ht="13"/>
    <row r="521" ht="13"/>
    <row r="522" ht="13"/>
    <row r="523" ht="13"/>
    <row r="524" ht="13"/>
    <row r="525" ht="13"/>
    <row r="526" ht="13"/>
    <row r="527" ht="13"/>
    <row r="528" ht="13"/>
    <row r="529" ht="13"/>
    <row r="530" ht="13"/>
    <row r="531" ht="13"/>
    <row r="532" ht="13"/>
    <row r="533" ht="13"/>
    <row r="534" ht="13"/>
    <row r="535" ht="13"/>
    <row r="536" ht="13"/>
    <row r="537" ht="13"/>
    <row r="538" ht="13"/>
    <row r="539" ht="13"/>
    <row r="540" ht="13"/>
    <row r="541" ht="13"/>
    <row r="542" ht="13"/>
    <row r="543" ht="13"/>
    <row r="544" ht="13"/>
    <row r="545" ht="13"/>
    <row r="546" ht="13"/>
    <row r="547" ht="13"/>
    <row r="548" ht="13"/>
    <row r="549" ht="13"/>
    <row r="550" ht="13"/>
    <row r="551" ht="13"/>
    <row r="552" ht="13"/>
    <row r="553" ht="13"/>
    <row r="554" ht="13"/>
    <row r="555" ht="13"/>
    <row r="556" ht="13"/>
    <row r="557" ht="13"/>
    <row r="558" ht="13"/>
    <row r="559" ht="13"/>
    <row r="560" ht="13"/>
    <row r="561" ht="13"/>
    <row r="562" ht="13"/>
    <row r="563" ht="13"/>
    <row r="564" ht="13"/>
    <row r="565" ht="13"/>
    <row r="566" ht="13"/>
    <row r="567" ht="13"/>
    <row r="568" ht="13"/>
    <row r="569" ht="13"/>
    <row r="570" ht="13"/>
    <row r="571" ht="13"/>
    <row r="572" ht="13"/>
    <row r="573" ht="13"/>
    <row r="574" ht="13"/>
    <row r="575" ht="13"/>
    <row r="576" ht="13"/>
    <row r="577" ht="13"/>
    <row r="578" ht="13"/>
    <row r="579" ht="13"/>
    <row r="580" ht="13"/>
    <row r="581" ht="13"/>
    <row r="582" ht="13"/>
    <row r="583" ht="13"/>
    <row r="584" ht="13"/>
    <row r="585" ht="13"/>
    <row r="586" ht="13"/>
    <row r="587" ht="13"/>
    <row r="588" ht="13"/>
    <row r="589" ht="13"/>
    <row r="590" ht="13"/>
    <row r="591" ht="13"/>
    <row r="592" ht="13"/>
    <row r="593" ht="13"/>
    <row r="594" ht="13"/>
    <row r="595" ht="13"/>
    <row r="596" ht="13"/>
    <row r="597" ht="13"/>
    <row r="598" ht="13"/>
    <row r="599" ht="13"/>
    <row r="600" ht="13"/>
    <row r="601" ht="13"/>
    <row r="602" ht="13"/>
    <row r="603" ht="13"/>
    <row r="604" ht="13"/>
    <row r="605" ht="13"/>
    <row r="606" ht="13"/>
    <row r="607" ht="13"/>
    <row r="608" ht="13"/>
    <row r="609" ht="13"/>
    <row r="610" ht="13"/>
    <row r="611" ht="13"/>
    <row r="612" ht="13"/>
    <row r="613" ht="13"/>
    <row r="614" ht="13"/>
    <row r="615" ht="13"/>
    <row r="616" ht="13"/>
    <row r="617" ht="13"/>
    <row r="618" ht="13"/>
    <row r="619" ht="13"/>
    <row r="620" ht="13"/>
    <row r="621" ht="13"/>
    <row r="622" ht="13"/>
    <row r="623" ht="13"/>
    <row r="624" ht="13"/>
    <row r="625" ht="13"/>
    <row r="626" ht="13"/>
    <row r="627" ht="13"/>
    <row r="628" ht="13"/>
    <row r="629" ht="13"/>
    <row r="630" ht="13"/>
    <row r="631" ht="13"/>
    <row r="632" ht="13"/>
    <row r="633" ht="13"/>
    <row r="634" ht="13"/>
    <row r="635" ht="13"/>
    <row r="636" ht="13"/>
    <row r="637" ht="13"/>
    <row r="638" ht="13"/>
    <row r="639" ht="13"/>
    <row r="640" ht="13"/>
    <row r="641" ht="13"/>
    <row r="642" ht="13"/>
    <row r="643" ht="13"/>
    <row r="644" ht="13"/>
    <row r="645" ht="13"/>
    <row r="646" ht="13"/>
    <row r="647" ht="13"/>
    <row r="648" ht="13"/>
    <row r="649" ht="13"/>
    <row r="650" ht="13"/>
    <row r="651" ht="13"/>
    <row r="652" ht="13"/>
    <row r="653" ht="13"/>
    <row r="654" ht="13"/>
    <row r="655" ht="13"/>
    <row r="656" ht="13"/>
    <row r="657" ht="13"/>
    <row r="658" ht="13"/>
    <row r="659" ht="13"/>
    <row r="660" ht="13"/>
    <row r="661" ht="13"/>
    <row r="662" ht="13"/>
    <row r="663" ht="13"/>
    <row r="664" ht="13"/>
    <row r="665" ht="13"/>
    <row r="666" ht="13"/>
    <row r="667" ht="13"/>
    <row r="668" ht="13"/>
    <row r="669" ht="13"/>
    <row r="670" ht="13"/>
    <row r="671" ht="13"/>
    <row r="672" ht="13"/>
    <row r="673" ht="13"/>
    <row r="674" ht="13"/>
    <row r="675" ht="13"/>
    <row r="676" ht="13"/>
    <row r="677" ht="13"/>
    <row r="678" ht="13"/>
    <row r="679" ht="13"/>
    <row r="680" ht="13"/>
    <row r="681" ht="13"/>
    <row r="682" ht="13"/>
    <row r="683" ht="13"/>
    <row r="684" ht="13"/>
    <row r="685" ht="13"/>
    <row r="686" ht="13"/>
    <row r="687" ht="13"/>
    <row r="688" ht="13"/>
    <row r="689" ht="13"/>
    <row r="690" ht="13"/>
    <row r="691" ht="13"/>
    <row r="692" ht="13"/>
    <row r="693" ht="13"/>
    <row r="694" ht="13"/>
    <row r="695" ht="13"/>
    <row r="696" ht="13"/>
    <row r="697" ht="13"/>
    <row r="698" ht="13"/>
    <row r="699" ht="13"/>
    <row r="700" ht="13"/>
    <row r="701" ht="13"/>
    <row r="702" ht="13"/>
    <row r="703" ht="13"/>
    <row r="704" ht="13"/>
    <row r="705" ht="13"/>
    <row r="706" ht="13"/>
    <row r="707" ht="13"/>
    <row r="708" ht="13"/>
    <row r="709" ht="13"/>
    <row r="710" ht="13"/>
    <row r="711" ht="13"/>
    <row r="712" ht="13"/>
    <row r="713" ht="13"/>
    <row r="714" ht="13"/>
    <row r="715" ht="13"/>
    <row r="716" ht="13"/>
    <row r="717" ht="13"/>
    <row r="718" ht="13"/>
    <row r="719" ht="13"/>
    <row r="720" ht="13"/>
    <row r="721" ht="13"/>
    <row r="722" ht="13"/>
    <row r="723" ht="13"/>
    <row r="724" ht="13"/>
    <row r="725" ht="13"/>
    <row r="726" ht="13"/>
    <row r="727" ht="13"/>
    <row r="728" ht="13"/>
    <row r="729" ht="13"/>
    <row r="730" ht="13"/>
    <row r="731" ht="13"/>
    <row r="732" ht="13"/>
    <row r="733" ht="13"/>
    <row r="734" ht="13"/>
    <row r="735" ht="13"/>
    <row r="736" ht="13"/>
    <row r="737" ht="13"/>
    <row r="738" ht="13"/>
    <row r="739" ht="13"/>
    <row r="740" ht="13"/>
    <row r="741" ht="13"/>
    <row r="742" ht="13"/>
    <row r="743" ht="13"/>
    <row r="744" ht="13"/>
    <row r="745" ht="13"/>
    <row r="746" ht="13"/>
    <row r="747" ht="13"/>
    <row r="748" ht="13"/>
    <row r="749" ht="13"/>
    <row r="750" ht="13"/>
    <row r="751" ht="13"/>
    <row r="752" ht="13"/>
    <row r="753" ht="13"/>
    <row r="754" ht="13"/>
    <row r="755" ht="13"/>
    <row r="756" ht="13"/>
    <row r="757" ht="13"/>
    <row r="758" ht="13"/>
    <row r="759" ht="13"/>
    <row r="760" ht="13"/>
    <row r="761" ht="13"/>
    <row r="762" ht="13"/>
    <row r="763" ht="13"/>
    <row r="764" ht="13"/>
    <row r="765" ht="13"/>
    <row r="766" ht="13"/>
    <row r="767" ht="13"/>
    <row r="768" ht="13"/>
    <row r="769" ht="13"/>
    <row r="770" ht="13"/>
    <row r="771" ht="13"/>
    <row r="772" ht="13"/>
    <row r="773" ht="13"/>
    <row r="774" ht="13"/>
    <row r="775" ht="13"/>
    <row r="776" ht="13"/>
    <row r="777" ht="13"/>
    <row r="778" ht="13"/>
    <row r="779" ht="13"/>
    <row r="780" ht="13"/>
    <row r="781" ht="13"/>
    <row r="782" ht="13"/>
    <row r="783" ht="13"/>
    <row r="784" ht="13"/>
    <row r="785" ht="13"/>
    <row r="786" ht="13"/>
    <row r="787" ht="13"/>
    <row r="788" ht="13"/>
    <row r="789" ht="13"/>
    <row r="790" ht="13"/>
    <row r="791" ht="13"/>
    <row r="792" ht="13"/>
    <row r="793" ht="13"/>
    <row r="794" ht="13"/>
    <row r="795" ht="13"/>
    <row r="796" ht="13"/>
    <row r="797" ht="13"/>
    <row r="798" ht="13"/>
    <row r="799" ht="13"/>
    <row r="800" ht="13"/>
    <row r="801" ht="13"/>
    <row r="802" ht="13"/>
    <row r="803" ht="13"/>
    <row r="804" ht="13"/>
    <row r="805" ht="13"/>
    <row r="806" ht="13"/>
    <row r="807" ht="13"/>
    <row r="808" ht="13"/>
    <row r="809" ht="13"/>
    <row r="810" ht="13"/>
    <row r="811" ht="13"/>
    <row r="812" ht="13"/>
    <row r="813" ht="13"/>
    <row r="814" ht="13"/>
    <row r="815" ht="13"/>
    <row r="816" ht="13"/>
    <row r="817" ht="13"/>
    <row r="818" ht="13"/>
    <row r="819" ht="13"/>
    <row r="820" ht="13"/>
    <row r="821" ht="13"/>
    <row r="822" ht="13"/>
    <row r="823" ht="13"/>
    <row r="824" ht="13"/>
    <row r="825" ht="13"/>
    <row r="826" ht="13"/>
    <row r="827" ht="13"/>
    <row r="828" ht="13"/>
    <row r="829" ht="13"/>
    <row r="830" ht="13"/>
    <row r="831" ht="13"/>
    <row r="832" ht="13"/>
    <row r="833" ht="13"/>
    <row r="834" ht="13"/>
    <row r="835" ht="13"/>
    <row r="836" ht="13"/>
    <row r="837" ht="13"/>
    <row r="838" ht="13"/>
    <row r="839" ht="13"/>
    <row r="840" ht="13"/>
    <row r="841" ht="13"/>
    <row r="842" ht="13"/>
    <row r="843" ht="13"/>
    <row r="844" ht="13"/>
    <row r="845" ht="13"/>
    <row r="846" ht="13"/>
    <row r="847" ht="13"/>
    <row r="848" ht="13"/>
    <row r="849" ht="13"/>
    <row r="850" ht="13"/>
    <row r="851" ht="13"/>
    <row r="852" ht="13"/>
    <row r="853" ht="13"/>
    <row r="854" ht="13"/>
    <row r="855" ht="13"/>
    <row r="856" ht="13"/>
    <row r="857" ht="13"/>
    <row r="858" ht="13"/>
    <row r="859" ht="13"/>
    <row r="860" ht="13"/>
    <row r="861" ht="13"/>
    <row r="862" ht="13"/>
    <row r="863" ht="13"/>
    <row r="864" ht="13"/>
    <row r="865" ht="13"/>
    <row r="866" ht="13"/>
    <row r="867" ht="13"/>
    <row r="868" ht="13"/>
    <row r="869" ht="13"/>
    <row r="870" ht="13"/>
    <row r="871" ht="13"/>
    <row r="872" ht="13"/>
    <row r="873" ht="13"/>
    <row r="874" ht="13"/>
    <row r="875" ht="13"/>
    <row r="876" ht="13"/>
    <row r="877" ht="13"/>
    <row r="878" ht="13"/>
    <row r="879" ht="13"/>
    <row r="880" ht="13"/>
    <row r="881" ht="13"/>
    <row r="882" ht="13"/>
    <row r="883" ht="13"/>
    <row r="884" ht="13"/>
    <row r="885" ht="13"/>
    <row r="886" ht="13"/>
    <row r="887" ht="13"/>
    <row r="888" ht="13"/>
    <row r="889" ht="13"/>
    <row r="890" ht="13"/>
    <row r="891" ht="13"/>
    <row r="892" ht="13"/>
    <row r="893" ht="13"/>
    <row r="894" ht="13"/>
    <row r="895" ht="13"/>
    <row r="896" ht="13"/>
    <row r="897" ht="13"/>
    <row r="898" ht="13"/>
    <row r="899" ht="13"/>
    <row r="900" ht="13"/>
    <row r="901" ht="13"/>
    <row r="902" ht="13"/>
    <row r="903" ht="13"/>
    <row r="904" ht="13"/>
    <row r="905" ht="13"/>
    <row r="906" ht="13"/>
    <row r="907" ht="13"/>
    <row r="908" ht="13"/>
    <row r="909" ht="13"/>
    <row r="910" ht="13"/>
    <row r="911" ht="13"/>
    <row r="912" ht="13"/>
    <row r="913" ht="13"/>
    <row r="914" ht="13"/>
    <row r="915" ht="13"/>
    <row r="916" ht="13"/>
    <row r="917" ht="13"/>
    <row r="918" ht="13"/>
    <row r="919" ht="13"/>
    <row r="920" ht="13"/>
    <row r="921" ht="13"/>
    <row r="922" ht="13"/>
    <row r="923" ht="13"/>
    <row r="924" ht="13"/>
    <row r="925" ht="13"/>
    <row r="926" ht="13"/>
    <row r="927" ht="13"/>
    <row r="928" ht="13"/>
    <row r="929" ht="13"/>
    <row r="930" ht="13"/>
    <row r="931" ht="13"/>
    <row r="932" ht="13"/>
    <row r="933" ht="13"/>
    <row r="934" ht="13"/>
    <row r="935" ht="13"/>
    <row r="936" ht="13"/>
    <row r="937" ht="13"/>
    <row r="938" ht="13"/>
    <row r="939" ht="13"/>
    <row r="940" ht="13"/>
    <row r="941" ht="13"/>
    <row r="942" ht="13"/>
    <row r="943" ht="13"/>
    <row r="944" ht="13"/>
    <row r="945" ht="13"/>
    <row r="946" ht="13"/>
    <row r="947" ht="13"/>
    <row r="948" ht="13"/>
    <row r="949" ht="13"/>
    <row r="950" ht="13"/>
    <row r="951" ht="13"/>
    <row r="952" ht="13"/>
    <row r="953" ht="13"/>
    <row r="954" ht="13"/>
    <row r="955" ht="13"/>
    <row r="956" ht="13"/>
    <row r="957" ht="13"/>
    <row r="958" ht="13"/>
    <row r="959" ht="13"/>
    <row r="960" ht="13"/>
    <row r="961" ht="13"/>
    <row r="962" ht="13"/>
    <row r="963" ht="13"/>
    <row r="964" ht="13"/>
    <row r="965" ht="13"/>
    <row r="966" ht="13"/>
    <row r="967" ht="13"/>
    <row r="968" ht="13"/>
    <row r="969" ht="13"/>
    <row r="970" ht="13"/>
    <row r="971" ht="13"/>
    <row r="972" ht="13"/>
    <row r="973" ht="13"/>
    <row r="974" ht="13"/>
    <row r="975" ht="13"/>
    <row r="976" ht="13"/>
    <row r="977" ht="13"/>
    <row r="978" ht="13"/>
    <row r="979" ht="13"/>
    <row r="980" ht="13"/>
    <row r="981" ht="13"/>
    <row r="982" ht="13"/>
    <row r="983" ht="13"/>
    <row r="984" ht="13"/>
    <row r="985" ht="13"/>
    <row r="986" ht="13"/>
    <row r="987" ht="13"/>
    <row r="988" ht="13"/>
    <row r="989" ht="13"/>
    <row r="990" ht="13"/>
    <row r="991" ht="13"/>
    <row r="992" ht="13"/>
    <row r="993" ht="13"/>
    <row r="994" ht="13"/>
    <row r="995" ht="13"/>
    <row r="996" ht="13"/>
    <row r="997" ht="13"/>
  </sheetData>
  <mergeCells count="16">
    <mergeCell ref="Z18:Z19"/>
    <mergeCell ref="A46:C46"/>
    <mergeCell ref="A53:C53"/>
    <mergeCell ref="Y3:Y4"/>
    <mergeCell ref="A18:A19"/>
    <mergeCell ref="B18:B19"/>
    <mergeCell ref="C18:C19"/>
    <mergeCell ref="D18:D19"/>
    <mergeCell ref="E18:H18"/>
    <mergeCell ref="Y18:Y19"/>
    <mergeCell ref="A3:A4"/>
    <mergeCell ref="B3:B4"/>
    <mergeCell ref="C3:C4"/>
    <mergeCell ref="D3:D4"/>
    <mergeCell ref="E3:H3"/>
    <mergeCell ref="X3:X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FFFF"/>
  </sheetPr>
  <dimension ref="A1:AI1000"/>
  <sheetViews>
    <sheetView showGridLines="0" workbookViewId="0">
      <pane xSplit="2" topLeftCell="C1" activePane="topRight" state="frozen"/>
      <selection pane="topRight" activeCell="A7" sqref="A7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45658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45658</v>
      </c>
      <c r="J3" s="14">
        <f t="shared" ref="J3:W3" si="0">I3+1</f>
        <v>45659</v>
      </c>
      <c r="K3" s="14">
        <f t="shared" si="0"/>
        <v>45660</v>
      </c>
      <c r="L3" s="14">
        <f t="shared" si="0"/>
        <v>45661</v>
      </c>
      <c r="M3" s="14">
        <f t="shared" si="0"/>
        <v>45662</v>
      </c>
      <c r="N3" s="14">
        <f t="shared" si="0"/>
        <v>45663</v>
      </c>
      <c r="O3" s="14">
        <f t="shared" si="0"/>
        <v>45664</v>
      </c>
      <c r="P3" s="14">
        <f t="shared" si="0"/>
        <v>45665</v>
      </c>
      <c r="Q3" s="14">
        <f t="shared" si="0"/>
        <v>45666</v>
      </c>
      <c r="R3" s="14">
        <f t="shared" si="0"/>
        <v>45667</v>
      </c>
      <c r="S3" s="14">
        <f t="shared" si="0"/>
        <v>45668</v>
      </c>
      <c r="T3" s="14">
        <f t="shared" si="0"/>
        <v>45669</v>
      </c>
      <c r="U3" s="14">
        <f t="shared" si="0"/>
        <v>45670</v>
      </c>
      <c r="V3" s="14">
        <f t="shared" si="0"/>
        <v>45671</v>
      </c>
      <c r="W3" s="14">
        <f t="shared" si="0"/>
        <v>45672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1"/>
      <c r="J6" s="32">
        <v>4</v>
      </c>
      <c r="K6" s="32">
        <v>4</v>
      </c>
      <c r="L6" s="33"/>
      <c r="M6" s="33"/>
      <c r="N6" s="32">
        <v>4</v>
      </c>
      <c r="O6" s="32">
        <v>4</v>
      </c>
      <c r="P6" s="32">
        <v>4</v>
      </c>
      <c r="Q6" s="32">
        <v>4</v>
      </c>
      <c r="R6" s="32">
        <v>4</v>
      </c>
      <c r="S6" s="33"/>
      <c r="T6" s="33"/>
      <c r="U6" s="32">
        <v>4</v>
      </c>
      <c r="V6" s="32">
        <v>4</v>
      </c>
      <c r="W6" s="32">
        <v>4</v>
      </c>
      <c r="X6" s="29"/>
      <c r="Y6" s="34">
        <v>10</v>
      </c>
      <c r="Z6" s="13"/>
      <c r="AA6" s="13"/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2">
        <v>8</v>
      </c>
      <c r="S7" s="33"/>
      <c r="T7" s="33"/>
      <c r="U7" s="32">
        <v>8</v>
      </c>
      <c r="V7" s="32">
        <v>8</v>
      </c>
      <c r="W7" s="32">
        <v>8</v>
      </c>
      <c r="X7" s="29">
        <f t="shared" ref="X7:X15" si="6">Y7-COUNTA(I7:W7)</f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64</v>
      </c>
      <c r="G8" s="29">
        <f t="shared" si="5"/>
        <v>64</v>
      </c>
      <c r="H8" s="30">
        <v>0</v>
      </c>
      <c r="I8" s="31"/>
      <c r="J8" s="32">
        <v>8</v>
      </c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8"/>
      <c r="V8" s="38"/>
      <c r="W8" s="32">
        <v>8</v>
      </c>
      <c r="X8" s="29">
        <f t="shared" si="6"/>
        <v>2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2">
        <v>8</v>
      </c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1"/>
      <c r="J11" s="32">
        <v>4</v>
      </c>
      <c r="K11" s="32">
        <v>4</v>
      </c>
      <c r="L11" s="33"/>
      <c r="M11" s="33"/>
      <c r="N11" s="32">
        <v>4</v>
      </c>
      <c r="O11" s="32">
        <v>4</v>
      </c>
      <c r="P11" s="32">
        <v>4</v>
      </c>
      <c r="Q11" s="32">
        <v>4</v>
      </c>
      <c r="R11" s="38"/>
      <c r="S11" s="42"/>
      <c r="T11" s="192"/>
      <c r="U11" s="43">
        <v>4</v>
      </c>
      <c r="V11" s="32">
        <v>4</v>
      </c>
      <c r="W11" s="32">
        <v>4</v>
      </c>
      <c r="X11" s="29">
        <f t="shared" si="6"/>
        <v>1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560</v>
      </c>
      <c r="E16" s="194">
        <f t="shared" si="8"/>
        <v>560</v>
      </c>
      <c r="F16" s="194">
        <f t="shared" si="8"/>
        <v>460</v>
      </c>
      <c r="G16" s="194">
        <f t="shared" si="8"/>
        <v>460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44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45673</v>
      </c>
      <c r="J19" s="44">
        <f t="shared" ref="J19:X19" si="9">I19+1</f>
        <v>45674</v>
      </c>
      <c r="K19" s="44">
        <f t="shared" si="9"/>
        <v>45675</v>
      </c>
      <c r="L19" s="14">
        <f t="shared" si="9"/>
        <v>45676</v>
      </c>
      <c r="M19" s="44">
        <f t="shared" si="9"/>
        <v>45677</v>
      </c>
      <c r="N19" s="44">
        <f t="shared" si="9"/>
        <v>45678</v>
      </c>
      <c r="O19" s="44">
        <f t="shared" si="9"/>
        <v>45679</v>
      </c>
      <c r="P19" s="44">
        <f t="shared" si="9"/>
        <v>45680</v>
      </c>
      <c r="Q19" s="44">
        <f t="shared" si="9"/>
        <v>45681</v>
      </c>
      <c r="R19" s="44">
        <f t="shared" si="9"/>
        <v>45682</v>
      </c>
      <c r="S19" s="44">
        <f t="shared" si="9"/>
        <v>45683</v>
      </c>
      <c r="T19" s="44">
        <f t="shared" si="9"/>
        <v>45684</v>
      </c>
      <c r="U19" s="44">
        <f t="shared" si="9"/>
        <v>45685</v>
      </c>
      <c r="V19" s="44">
        <f t="shared" si="9"/>
        <v>45686</v>
      </c>
      <c r="W19" s="44">
        <f t="shared" si="9"/>
        <v>45687</v>
      </c>
      <c r="X19" s="44">
        <f t="shared" si="9"/>
        <v>45688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1" t="str">
        <f t="shared" si="10"/>
        <v>Thu</v>
      </c>
      <c r="X20" s="21" t="str">
        <f t="shared" si="10"/>
        <v>Fri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96</v>
      </c>
      <c r="E21" s="29">
        <f t="shared" ref="E21:E27" si="12">Z21*8</f>
        <v>96</v>
      </c>
      <c r="F21" s="29">
        <f t="shared" ref="F21:F27" si="13">G21+H21</f>
        <v>96</v>
      </c>
      <c r="G21" s="29">
        <f t="shared" ref="G21:G27" si="14">SUM(I21:X21)</f>
        <v>96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2">
        <v>8</v>
      </c>
      <c r="Q21" s="32">
        <v>8</v>
      </c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7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44</v>
      </c>
      <c r="G22" s="29">
        <f t="shared" si="14"/>
        <v>44</v>
      </c>
      <c r="H22" s="30">
        <v>0</v>
      </c>
      <c r="I22" s="32">
        <v>4</v>
      </c>
      <c r="J22" s="32">
        <v>4</v>
      </c>
      <c r="K22" s="33"/>
      <c r="L22" s="33"/>
      <c r="M22" s="32">
        <v>4</v>
      </c>
      <c r="N22" s="32">
        <v>4</v>
      </c>
      <c r="O22" s="32">
        <v>4</v>
      </c>
      <c r="P22" s="38"/>
      <c r="Q22" s="32">
        <v>4</v>
      </c>
      <c r="R22" s="33"/>
      <c r="S22" s="33"/>
      <c r="T22" s="32">
        <v>4</v>
      </c>
      <c r="U22" s="32">
        <v>4</v>
      </c>
      <c r="V22" s="46">
        <v>4</v>
      </c>
      <c r="W22" s="32">
        <v>4</v>
      </c>
      <c r="X22" s="32">
        <v>4</v>
      </c>
      <c r="Y22" s="29">
        <f t="shared" si="15"/>
        <v>1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3"/>
      <c r="L23" s="33"/>
      <c r="M23" s="32">
        <v>8</v>
      </c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96</v>
      </c>
      <c r="G25" s="29">
        <f t="shared" si="14"/>
        <v>96</v>
      </c>
      <c r="H25" s="30">
        <v>0</v>
      </c>
      <c r="I25" s="32">
        <v>8</v>
      </c>
      <c r="J25" s="32">
        <v>8</v>
      </c>
      <c r="K25" s="33"/>
      <c r="L25" s="33"/>
      <c r="M25" s="32">
        <v>8</v>
      </c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0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8"/>
      <c r="K26" s="33"/>
      <c r="L26" s="33"/>
      <c r="M26" s="32">
        <v>8</v>
      </c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46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36</v>
      </c>
      <c r="G27" s="29">
        <f t="shared" si="14"/>
        <v>36</v>
      </c>
      <c r="H27" s="30">
        <v>0</v>
      </c>
      <c r="I27" s="38"/>
      <c r="J27" s="38"/>
      <c r="K27" s="33"/>
      <c r="L27" s="33"/>
      <c r="M27" s="32">
        <v>4</v>
      </c>
      <c r="N27" s="48">
        <v>4</v>
      </c>
      <c r="O27" s="48">
        <v>4</v>
      </c>
      <c r="P27" s="48">
        <v>4</v>
      </c>
      <c r="Q27" s="48">
        <v>4</v>
      </c>
      <c r="R27" s="47"/>
      <c r="S27" s="47"/>
      <c r="T27" s="48">
        <v>4</v>
      </c>
      <c r="U27" s="48">
        <v>4</v>
      </c>
      <c r="V27" s="48">
        <v>4</v>
      </c>
      <c r="W27" s="32">
        <v>4</v>
      </c>
      <c r="X27" s="38"/>
      <c r="Y27" s="29">
        <f t="shared" si="15"/>
        <v>3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672</v>
      </c>
      <c r="E32" s="194">
        <f t="shared" si="16"/>
        <v>672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44</v>
      </c>
      <c r="J32" s="194">
        <f t="shared" si="16"/>
        <v>36</v>
      </c>
      <c r="K32" s="194">
        <f t="shared" si="16"/>
        <v>0</v>
      </c>
      <c r="L32" s="194">
        <f t="shared" si="16"/>
        <v>0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44</v>
      </c>
      <c r="Q32" s="194">
        <f t="shared" si="16"/>
        <v>48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176</v>
      </c>
      <c r="C36" s="60">
        <f t="shared" ref="C36:C42" si="18">E5+E21</f>
        <v>176</v>
      </c>
      <c r="D36" s="61">
        <f t="shared" ref="D36:D42" si="19">B36</f>
        <v>176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84</v>
      </c>
      <c r="C37" s="60">
        <f t="shared" si="18"/>
        <v>176</v>
      </c>
      <c r="D37" s="61">
        <f t="shared" si="19"/>
        <v>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176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176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176</v>
      </c>
      <c r="C40" s="60">
        <f t="shared" si="18"/>
        <v>176</v>
      </c>
      <c r="D40" s="61">
        <f t="shared" si="19"/>
        <v>176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176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72</v>
      </c>
      <c r="C42" s="67">
        <f t="shared" si="18"/>
        <v>176</v>
      </c>
      <c r="D42" s="68">
        <f t="shared" si="19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10</v>
      </c>
      <c r="C53" s="81">
        <f t="shared" si="25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6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12</v>
      </c>
      <c r="C60" s="81">
        <f t="shared" si="27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A86E8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45323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45323</v>
      </c>
      <c r="J3" s="14">
        <f t="shared" ref="J3:W3" si="0">I3+1</f>
        <v>45324</v>
      </c>
      <c r="K3" s="14">
        <f t="shared" si="0"/>
        <v>45325</v>
      </c>
      <c r="L3" s="14">
        <f t="shared" si="0"/>
        <v>45326</v>
      </c>
      <c r="M3" s="14">
        <f t="shared" si="0"/>
        <v>45327</v>
      </c>
      <c r="N3" s="14">
        <f t="shared" si="0"/>
        <v>45328</v>
      </c>
      <c r="O3" s="14">
        <f t="shared" si="0"/>
        <v>45329</v>
      </c>
      <c r="P3" s="14">
        <f t="shared" si="0"/>
        <v>45330</v>
      </c>
      <c r="Q3" s="14">
        <f t="shared" si="0"/>
        <v>45331</v>
      </c>
      <c r="R3" s="14">
        <f t="shared" si="0"/>
        <v>45332</v>
      </c>
      <c r="S3" s="14">
        <f t="shared" si="0"/>
        <v>45333</v>
      </c>
      <c r="T3" s="14">
        <f t="shared" si="0"/>
        <v>45334</v>
      </c>
      <c r="U3" s="14">
        <f t="shared" si="0"/>
        <v>45335</v>
      </c>
      <c r="V3" s="14">
        <f t="shared" si="0"/>
        <v>45336</v>
      </c>
      <c r="W3" s="14">
        <f t="shared" si="0"/>
        <v>45337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88</v>
      </c>
      <c r="G5" s="29">
        <f t="shared" ref="G5:G11" si="5">SUM(I5:W5)</f>
        <v>88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2">
        <v>8</v>
      </c>
      <c r="K7" s="33"/>
      <c r="L7" s="33"/>
      <c r="M7" s="32">
        <v>8</v>
      </c>
      <c r="N7" s="32">
        <v>8</v>
      </c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8"/>
      <c r="U8" s="32">
        <v>8</v>
      </c>
      <c r="V8" s="32">
        <v>8</v>
      </c>
      <c r="W8" s="32">
        <v>8</v>
      </c>
      <c r="X8" s="29">
        <f t="shared" si="6"/>
        <v>1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8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512</v>
      </c>
      <c r="G16" s="194">
        <f t="shared" si="8"/>
        <v>512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48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32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45338</v>
      </c>
      <c r="J19" s="44">
        <f t="shared" ref="J19:V19" si="9">I19+1</f>
        <v>45339</v>
      </c>
      <c r="K19" s="44">
        <f t="shared" si="9"/>
        <v>45340</v>
      </c>
      <c r="L19" s="14">
        <f t="shared" si="9"/>
        <v>45341</v>
      </c>
      <c r="M19" s="44">
        <f t="shared" si="9"/>
        <v>45342</v>
      </c>
      <c r="N19" s="44">
        <f t="shared" si="9"/>
        <v>45343</v>
      </c>
      <c r="O19" s="44">
        <f t="shared" si="9"/>
        <v>45344</v>
      </c>
      <c r="P19" s="44">
        <f t="shared" si="9"/>
        <v>45345</v>
      </c>
      <c r="Q19" s="44">
        <f t="shared" si="9"/>
        <v>45346</v>
      </c>
      <c r="R19" s="44">
        <f t="shared" si="9"/>
        <v>45347</v>
      </c>
      <c r="S19" s="44">
        <f t="shared" si="9"/>
        <v>45348</v>
      </c>
      <c r="T19" s="44">
        <f t="shared" si="9"/>
        <v>45349</v>
      </c>
      <c r="U19" s="44">
        <f t="shared" si="9"/>
        <v>45350</v>
      </c>
      <c r="V19" s="44">
        <f t="shared" si="9"/>
        <v>45351</v>
      </c>
      <c r="W19" s="91"/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V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32"/>
      <c r="X20" s="32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80</v>
      </c>
      <c r="E21" s="29">
        <f t="shared" ref="E21:E27" si="12">Z21*8</f>
        <v>80</v>
      </c>
      <c r="F21" s="29">
        <f t="shared" ref="F21:F27" si="13">G21+H21</f>
        <v>80</v>
      </c>
      <c r="G21" s="29">
        <f t="shared" ref="G21:G27" si="14">SUM(I21:X21)</f>
        <v>80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/>
      <c r="X21" s="32"/>
      <c r="Y21" s="29">
        <f t="shared" ref="Y21:Y27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64</v>
      </c>
      <c r="G22" s="29">
        <f t="shared" si="14"/>
        <v>64</v>
      </c>
      <c r="H22" s="30">
        <v>0</v>
      </c>
      <c r="I22" s="32">
        <v>8</v>
      </c>
      <c r="J22" s="33"/>
      <c r="K22" s="33"/>
      <c r="L22" s="32">
        <v>8</v>
      </c>
      <c r="M22" s="32">
        <v>8</v>
      </c>
      <c r="N22" s="38"/>
      <c r="O22" s="32">
        <v>8</v>
      </c>
      <c r="P22" s="38"/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/>
      <c r="X22" s="32"/>
      <c r="Y22" s="29">
        <f t="shared" si="15"/>
        <v>2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8"/>
      <c r="U23" s="32">
        <v>8</v>
      </c>
      <c r="V23" s="46">
        <v>8</v>
      </c>
      <c r="W23" s="32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/>
      <c r="X24" s="32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2">
        <v>8</v>
      </c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46">
        <v>8</v>
      </c>
      <c r="W26" s="32"/>
      <c r="X26" s="32"/>
      <c r="Y26" s="29">
        <f t="shared" si="15"/>
        <v>0</v>
      </c>
      <c r="Z26" s="34">
        <v>10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96</v>
      </c>
      <c r="E27" s="29">
        <f t="shared" si="12"/>
        <v>96</v>
      </c>
      <c r="F27" s="29">
        <f t="shared" si="13"/>
        <v>0</v>
      </c>
      <c r="G27" s="29">
        <f t="shared" si="14"/>
        <v>0</v>
      </c>
      <c r="H27" s="30">
        <v>0</v>
      </c>
      <c r="I27" s="32"/>
      <c r="J27" s="32"/>
      <c r="K27" s="33"/>
      <c r="L27" s="33"/>
      <c r="M27" s="32"/>
      <c r="N27" s="48"/>
      <c r="O27" s="48"/>
      <c r="P27" s="48"/>
      <c r="Q27" s="48"/>
      <c r="R27" s="47"/>
      <c r="S27" s="47"/>
      <c r="T27" s="48"/>
      <c r="U27" s="48"/>
      <c r="V27" s="48"/>
      <c r="W27" s="32"/>
      <c r="X27" s="32"/>
      <c r="Y27" s="29">
        <f t="shared" si="15"/>
        <v>12</v>
      </c>
      <c r="Z27" s="34">
        <v>12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48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40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2" si="18">E5+E21</f>
        <v>168</v>
      </c>
      <c r="D36" s="61">
        <f t="shared" ref="D36:D42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176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6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10</v>
      </c>
      <c r="C60" s="81">
        <f t="shared" si="27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45352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45352</v>
      </c>
      <c r="J3" s="14">
        <f t="shared" ref="J3:W3" si="0">I3+1</f>
        <v>45353</v>
      </c>
      <c r="K3" s="14">
        <f t="shared" si="0"/>
        <v>45354</v>
      </c>
      <c r="L3" s="14">
        <f t="shared" si="0"/>
        <v>45355</v>
      </c>
      <c r="M3" s="14">
        <f t="shared" si="0"/>
        <v>45356</v>
      </c>
      <c r="N3" s="14">
        <f t="shared" si="0"/>
        <v>45357</v>
      </c>
      <c r="O3" s="14">
        <f t="shared" si="0"/>
        <v>45358</v>
      </c>
      <c r="P3" s="14">
        <f t="shared" si="0"/>
        <v>45359</v>
      </c>
      <c r="Q3" s="14">
        <f t="shared" si="0"/>
        <v>45360</v>
      </c>
      <c r="R3" s="14">
        <f t="shared" si="0"/>
        <v>45361</v>
      </c>
      <c r="S3" s="14">
        <f t="shared" si="0"/>
        <v>45362</v>
      </c>
      <c r="T3" s="14">
        <f t="shared" si="0"/>
        <v>45363</v>
      </c>
      <c r="U3" s="14">
        <f t="shared" si="0"/>
        <v>45364</v>
      </c>
      <c r="V3" s="14">
        <f t="shared" si="0"/>
        <v>45365</v>
      </c>
      <c r="W3" s="14">
        <f t="shared" si="0"/>
        <v>45366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88</v>
      </c>
      <c r="E5" s="29">
        <f t="shared" ref="E5:E11" si="3">Y5*8</f>
        <v>88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2">
        <v>8</v>
      </c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8"/>
      <c r="W5" s="32">
        <v>8</v>
      </c>
      <c r="X5" s="29">
        <f t="shared" ref="X5:X15" si="6">Y5-COUNTA(I5:W5)</f>
        <v>1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72</v>
      </c>
      <c r="G6" s="29">
        <f t="shared" si="5"/>
        <v>72</v>
      </c>
      <c r="H6" s="30">
        <v>0</v>
      </c>
      <c r="I6" s="32">
        <v>8</v>
      </c>
      <c r="J6" s="33"/>
      <c r="K6" s="33"/>
      <c r="L6" s="32">
        <v>8</v>
      </c>
      <c r="M6" s="38"/>
      <c r="N6" s="38"/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2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88</v>
      </c>
      <c r="G7" s="29">
        <f t="shared" si="5"/>
        <v>88</v>
      </c>
      <c r="H7" s="30">
        <v>0</v>
      </c>
      <c r="I7" s="32">
        <v>8</v>
      </c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88</v>
      </c>
      <c r="G9" s="29">
        <f t="shared" si="5"/>
        <v>88</v>
      </c>
      <c r="H9" s="30">
        <v>0</v>
      </c>
      <c r="I9" s="32">
        <v>8</v>
      </c>
      <c r="J9" s="33"/>
      <c r="K9" s="33"/>
      <c r="L9" s="32">
        <v>8</v>
      </c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32">
        <v>8</v>
      </c>
      <c r="W9" s="32">
        <v>8</v>
      </c>
      <c r="X9" s="29">
        <f t="shared" si="6"/>
        <v>0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88</v>
      </c>
      <c r="G10" s="29">
        <f t="shared" si="5"/>
        <v>88</v>
      </c>
      <c r="H10" s="30">
        <v>0</v>
      </c>
      <c r="I10" s="32">
        <v>8</v>
      </c>
      <c r="J10" s="33"/>
      <c r="K10" s="33"/>
      <c r="L10" s="32">
        <v>8</v>
      </c>
      <c r="M10" s="32">
        <v>8</v>
      </c>
      <c r="N10" s="32">
        <v>8</v>
      </c>
      <c r="O10" s="32">
        <v>8</v>
      </c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0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0</v>
      </c>
      <c r="G11" s="29">
        <f t="shared" si="5"/>
        <v>0</v>
      </c>
      <c r="H11" s="30">
        <v>0</v>
      </c>
      <c r="I11" s="31"/>
      <c r="J11" s="32"/>
      <c r="K11" s="32"/>
      <c r="L11" s="33"/>
      <c r="M11" s="33"/>
      <c r="N11" s="32"/>
      <c r="O11" s="32"/>
      <c r="P11" s="32"/>
      <c r="Q11" s="32"/>
      <c r="R11" s="32"/>
      <c r="S11" s="42"/>
      <c r="T11" s="192"/>
      <c r="U11" s="43"/>
      <c r="V11" s="32"/>
      <c r="W11" s="32"/>
      <c r="X11" s="29">
        <f t="shared" si="6"/>
        <v>10</v>
      </c>
      <c r="Y11" s="34"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ref="Y12:Y15" si="7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608</v>
      </c>
      <c r="E16" s="194">
        <f t="shared" si="8"/>
        <v>608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0</v>
      </c>
      <c r="L16" s="194">
        <f t="shared" si="8"/>
        <v>48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45367</v>
      </c>
      <c r="J19" s="44">
        <f t="shared" ref="J19:X19" si="9">I19+1</f>
        <v>45368</v>
      </c>
      <c r="K19" s="44">
        <f t="shared" si="9"/>
        <v>45369</v>
      </c>
      <c r="L19" s="14">
        <f t="shared" si="9"/>
        <v>45370</v>
      </c>
      <c r="M19" s="44">
        <f t="shared" si="9"/>
        <v>45371</v>
      </c>
      <c r="N19" s="44">
        <f t="shared" si="9"/>
        <v>45372</v>
      </c>
      <c r="O19" s="44">
        <f t="shared" si="9"/>
        <v>45373</v>
      </c>
      <c r="P19" s="44">
        <f t="shared" si="9"/>
        <v>45374</v>
      </c>
      <c r="Q19" s="44">
        <f t="shared" si="9"/>
        <v>45375</v>
      </c>
      <c r="R19" s="44">
        <f t="shared" si="9"/>
        <v>45376</v>
      </c>
      <c r="S19" s="44">
        <f t="shared" si="9"/>
        <v>45377</v>
      </c>
      <c r="T19" s="44">
        <f t="shared" si="9"/>
        <v>45378</v>
      </c>
      <c r="U19" s="44">
        <f t="shared" si="9"/>
        <v>45379</v>
      </c>
      <c r="V19" s="44">
        <f t="shared" si="9"/>
        <v>45380</v>
      </c>
      <c r="W19" s="44">
        <f t="shared" si="9"/>
        <v>45381</v>
      </c>
      <c r="X19" s="44">
        <f t="shared" si="9"/>
        <v>45382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22" t="str">
        <f t="shared" si="10"/>
        <v>Sun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1">E21</f>
        <v>72</v>
      </c>
      <c r="E21" s="29">
        <f t="shared" ref="E21:E26" si="12">Z21*8</f>
        <v>72</v>
      </c>
      <c r="F21" s="29">
        <f t="shared" ref="F21:F27" si="13">G21+H21</f>
        <v>64</v>
      </c>
      <c r="G21" s="29">
        <f t="shared" ref="G21:G26" si="14">SUM(I21:X21)</f>
        <v>64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8"/>
      <c r="O21" s="32">
        <v>8</v>
      </c>
      <c r="P21" s="33"/>
      <c r="Q21" s="33"/>
      <c r="R21" s="31"/>
      <c r="S21" s="32">
        <v>8</v>
      </c>
      <c r="T21" s="32">
        <v>8</v>
      </c>
      <c r="U21" s="32">
        <v>8</v>
      </c>
      <c r="V21" s="46">
        <v>8</v>
      </c>
      <c r="W21" s="33"/>
      <c r="X21" s="33"/>
      <c r="Y21" s="29">
        <f t="shared" ref="Y21:Y26" si="15">Z21-COUNTA(I21:X21)</f>
        <v>1</v>
      </c>
      <c r="Z21" s="34">
        <v>9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72</v>
      </c>
      <c r="E22" s="29">
        <f t="shared" si="12"/>
        <v>72</v>
      </c>
      <c r="F22" s="29">
        <f t="shared" si="13"/>
        <v>64</v>
      </c>
      <c r="G22" s="29">
        <f t="shared" si="14"/>
        <v>64</v>
      </c>
      <c r="H22" s="30">
        <v>0</v>
      </c>
      <c r="I22" s="33"/>
      <c r="J22" s="33"/>
      <c r="K22" s="32">
        <v>8</v>
      </c>
      <c r="L22" s="38"/>
      <c r="M22" s="32">
        <v>8</v>
      </c>
      <c r="N22" s="32">
        <v>8</v>
      </c>
      <c r="O22" s="32">
        <v>8</v>
      </c>
      <c r="P22" s="33"/>
      <c r="Q22" s="33"/>
      <c r="R22" s="31"/>
      <c r="S22" s="32">
        <v>8</v>
      </c>
      <c r="T22" s="32">
        <v>8</v>
      </c>
      <c r="U22" s="32">
        <v>8</v>
      </c>
      <c r="V22" s="46">
        <v>8</v>
      </c>
      <c r="W22" s="33"/>
      <c r="X22" s="33"/>
      <c r="Y22" s="29">
        <f t="shared" si="15"/>
        <v>1</v>
      </c>
      <c r="Z22" s="34">
        <v>9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72</v>
      </c>
      <c r="E23" s="29">
        <f t="shared" si="12"/>
        <v>72</v>
      </c>
      <c r="F23" s="29">
        <f t="shared" si="13"/>
        <v>64</v>
      </c>
      <c r="G23" s="29">
        <f t="shared" si="14"/>
        <v>64</v>
      </c>
      <c r="H23" s="30">
        <v>0</v>
      </c>
      <c r="I23" s="33"/>
      <c r="J23" s="33"/>
      <c r="K23" s="38"/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92"/>
      <c r="S23" s="32">
        <v>8</v>
      </c>
      <c r="T23" s="32">
        <v>8</v>
      </c>
      <c r="U23" s="32">
        <v>8</v>
      </c>
      <c r="V23" s="46">
        <v>8</v>
      </c>
      <c r="W23" s="33"/>
      <c r="X23" s="33"/>
      <c r="Y23" s="29">
        <f t="shared" si="15"/>
        <v>1</v>
      </c>
      <c r="Z23" s="34">
        <v>9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72</v>
      </c>
      <c r="E24" s="29">
        <f t="shared" si="12"/>
        <v>72</v>
      </c>
      <c r="F24" s="29">
        <f t="shared" si="13"/>
        <v>64</v>
      </c>
      <c r="G24" s="29">
        <f t="shared" si="14"/>
        <v>64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1"/>
      <c r="S24" s="32">
        <v>8</v>
      </c>
      <c r="T24" s="32">
        <v>8</v>
      </c>
      <c r="U24" s="38"/>
      <c r="V24" s="46">
        <v>8</v>
      </c>
      <c r="W24" s="33"/>
      <c r="X24" s="33"/>
      <c r="Y24" s="29">
        <f t="shared" si="15"/>
        <v>1</v>
      </c>
      <c r="Z24" s="34">
        <v>9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72</v>
      </c>
      <c r="E25" s="29">
        <f t="shared" si="12"/>
        <v>72</v>
      </c>
      <c r="F25" s="29">
        <f t="shared" si="13"/>
        <v>72</v>
      </c>
      <c r="G25" s="29">
        <f t="shared" si="14"/>
        <v>72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92"/>
      <c r="S25" s="32">
        <v>8</v>
      </c>
      <c r="T25" s="32">
        <v>8</v>
      </c>
      <c r="U25" s="32">
        <v>8</v>
      </c>
      <c r="V25" s="46">
        <v>8</v>
      </c>
      <c r="W25" s="33"/>
      <c r="X25" s="33"/>
      <c r="Y25" s="29">
        <f t="shared" si="15"/>
        <v>0</v>
      </c>
      <c r="Z25" s="34">
        <v>9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72</v>
      </c>
      <c r="E26" s="29">
        <f t="shared" si="12"/>
        <v>72</v>
      </c>
      <c r="F26" s="29">
        <f t="shared" si="13"/>
        <v>48</v>
      </c>
      <c r="G26" s="29">
        <f t="shared" si="14"/>
        <v>48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1"/>
      <c r="S26" s="38"/>
      <c r="T26" s="38"/>
      <c r="U26" s="32">
        <v>8</v>
      </c>
      <c r="V26" s="38"/>
      <c r="W26" s="33"/>
      <c r="X26" s="33"/>
      <c r="Y26" s="29">
        <f t="shared" si="15"/>
        <v>3</v>
      </c>
      <c r="Z26" s="34">
        <v>9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1"/>
        <v>80</v>
      </c>
      <c r="E27" s="29">
        <f>Y27*8</f>
        <v>80</v>
      </c>
      <c r="F27" s="29">
        <f t="shared" si="13"/>
        <v>0</v>
      </c>
      <c r="G27" s="29">
        <f>SUM(I27:W27)</f>
        <v>0</v>
      </c>
      <c r="H27" s="30">
        <v>0</v>
      </c>
      <c r="I27" s="31"/>
      <c r="J27" s="32"/>
      <c r="K27" s="32"/>
      <c r="L27" s="33"/>
      <c r="M27" s="33"/>
      <c r="N27" s="32"/>
      <c r="O27" s="32"/>
      <c r="P27" s="32"/>
      <c r="Q27" s="32"/>
      <c r="R27" s="32"/>
      <c r="S27" s="42"/>
      <c r="T27" s="192"/>
      <c r="U27" s="43"/>
      <c r="V27" s="32"/>
      <c r="W27" s="32"/>
      <c r="X27" s="29">
        <f>Y27-COUNTA(I27:W27)</f>
        <v>10</v>
      </c>
      <c r="Y27" s="34">
        <v>10</v>
      </c>
      <c r="Z27" s="13"/>
      <c r="AA27" s="15"/>
      <c r="AB27" s="24"/>
      <c r="AC27" s="25"/>
      <c r="AD27" s="25"/>
      <c r="AE27" s="25"/>
      <c r="AF27" s="25"/>
      <c r="AG27" s="2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512</v>
      </c>
      <c r="E32" s="194">
        <f t="shared" si="16"/>
        <v>512</v>
      </c>
      <c r="F32" s="194">
        <f t="shared" si="16"/>
        <v>376</v>
      </c>
      <c r="G32" s="194">
        <f t="shared" si="16"/>
        <v>376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40</v>
      </c>
      <c r="L32" s="194">
        <f t="shared" si="16"/>
        <v>40</v>
      </c>
      <c r="M32" s="194">
        <f t="shared" si="16"/>
        <v>48</v>
      </c>
      <c r="N32" s="194">
        <f t="shared" si="16"/>
        <v>40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0</v>
      </c>
      <c r="S32" s="194">
        <f t="shared" si="16"/>
        <v>40</v>
      </c>
      <c r="T32" s="194">
        <f t="shared" si="16"/>
        <v>40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144</v>
      </c>
      <c r="C36" s="60">
        <f t="shared" ref="C36:C42" si="18">E5+E21</f>
        <v>160</v>
      </c>
      <c r="D36" s="61">
        <f t="shared" ref="D36:D42" si="19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136</v>
      </c>
      <c r="C37" s="60">
        <f t="shared" si="18"/>
        <v>160</v>
      </c>
      <c r="D37" s="61">
        <f t="shared" si="19"/>
        <v>136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160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136</v>
      </c>
      <c r="C41" s="67">
        <f t="shared" si="18"/>
        <v>160</v>
      </c>
      <c r="D41" s="68">
        <f t="shared" si="19"/>
        <v>136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0">G11+G27</f>
        <v>0</v>
      </c>
      <c r="C42" s="67">
        <f t="shared" si="18"/>
        <v>160</v>
      </c>
      <c r="D42" s="68">
        <f t="shared" si="19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1">B43</f>
        <v>0</v>
      </c>
      <c r="D43" s="61">
        <f t="shared" si="21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2">B44</f>
        <v>0</v>
      </c>
      <c r="D44" s="61">
        <f t="shared" si="22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3">B45</f>
        <v>0</v>
      </c>
      <c r="D45" s="61">
        <f t="shared" si="23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4">B46</f>
        <v>0</v>
      </c>
      <c r="D46" s="68">
        <f t="shared" si="24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5">B51-B52</f>
        <v>11</v>
      </c>
      <c r="C53" s="81">
        <f t="shared" si="25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6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6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7">B58-B59</f>
        <v>9</v>
      </c>
      <c r="C60" s="81">
        <f t="shared" si="27"/>
        <v>72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45383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45383</v>
      </c>
      <c r="J3" s="14">
        <f t="shared" ref="J3:W3" si="0">I3+1</f>
        <v>45384</v>
      </c>
      <c r="K3" s="14">
        <f t="shared" si="0"/>
        <v>45385</v>
      </c>
      <c r="L3" s="14">
        <f t="shared" si="0"/>
        <v>45386</v>
      </c>
      <c r="M3" s="14">
        <f t="shared" si="0"/>
        <v>45387</v>
      </c>
      <c r="N3" s="14">
        <f t="shared" si="0"/>
        <v>45388</v>
      </c>
      <c r="O3" s="14">
        <f t="shared" si="0"/>
        <v>45389</v>
      </c>
      <c r="P3" s="14">
        <f t="shared" si="0"/>
        <v>45390</v>
      </c>
      <c r="Q3" s="14">
        <f t="shared" si="0"/>
        <v>45391</v>
      </c>
      <c r="R3" s="14">
        <f t="shared" si="0"/>
        <v>45392</v>
      </c>
      <c r="S3" s="14">
        <f t="shared" si="0"/>
        <v>45393</v>
      </c>
      <c r="T3" s="14">
        <f t="shared" si="0"/>
        <v>45394</v>
      </c>
      <c r="U3" s="14">
        <f t="shared" si="0"/>
        <v>45395</v>
      </c>
      <c r="V3" s="14">
        <f t="shared" si="0"/>
        <v>45396</v>
      </c>
      <c r="W3" s="14">
        <f t="shared" si="0"/>
        <v>45397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1"/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1"/>
      <c r="T6" s="32">
        <v>8</v>
      </c>
      <c r="U6" s="33"/>
      <c r="V6" s="33"/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1"/>
      <c r="T7" s="32">
        <v>8</v>
      </c>
      <c r="U7" s="33"/>
      <c r="V7" s="33"/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1"/>
      <c r="T8" s="32">
        <v>8</v>
      </c>
      <c r="U8" s="33"/>
      <c r="V8" s="33"/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1"/>
      <c r="T9" s="32">
        <v>8</v>
      </c>
      <c r="U9" s="33"/>
      <c r="V9" s="33"/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1"/>
      <c r="T10" s="38"/>
      <c r="U10" s="33"/>
      <c r="V10" s="33"/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472</v>
      </c>
      <c r="G16" s="194">
        <f t="shared" si="8"/>
        <v>472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0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45398</v>
      </c>
      <c r="J19" s="44">
        <f t="shared" ref="J19:W19" si="9">I19+1</f>
        <v>45399</v>
      </c>
      <c r="K19" s="44">
        <f t="shared" si="9"/>
        <v>45400</v>
      </c>
      <c r="L19" s="14">
        <f t="shared" si="9"/>
        <v>45401</v>
      </c>
      <c r="M19" s="44">
        <f t="shared" si="9"/>
        <v>45402</v>
      </c>
      <c r="N19" s="44">
        <f t="shared" si="9"/>
        <v>45403</v>
      </c>
      <c r="O19" s="44">
        <f t="shared" si="9"/>
        <v>45404</v>
      </c>
      <c r="P19" s="44">
        <f t="shared" si="9"/>
        <v>45405</v>
      </c>
      <c r="Q19" s="44">
        <f t="shared" si="9"/>
        <v>45406</v>
      </c>
      <c r="R19" s="44">
        <f t="shared" si="9"/>
        <v>45407</v>
      </c>
      <c r="S19" s="44">
        <f t="shared" si="9"/>
        <v>45408</v>
      </c>
      <c r="T19" s="44">
        <f t="shared" si="9"/>
        <v>45409</v>
      </c>
      <c r="U19" s="44">
        <f t="shared" si="9"/>
        <v>45410</v>
      </c>
      <c r="V19" s="44">
        <f t="shared" si="9"/>
        <v>45411</v>
      </c>
      <c r="W19" s="44">
        <f t="shared" si="9"/>
        <v>45412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46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2">
        <v>8</v>
      </c>
      <c r="L21" s="38"/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32"/>
      <c r="Y21" s="29">
        <f t="shared" ref="Y21:Y26" si="15">Z21-COUNTA(I21:X21)</f>
        <v>1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72</v>
      </c>
      <c r="G22" s="29">
        <f t="shared" si="14"/>
        <v>72</v>
      </c>
      <c r="H22" s="30">
        <v>0</v>
      </c>
      <c r="I22" s="32">
        <v>8</v>
      </c>
      <c r="J22" s="38"/>
      <c r="K22" s="32">
        <v>8</v>
      </c>
      <c r="L22" s="38"/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32"/>
      <c r="Y22" s="29">
        <f t="shared" si="15"/>
        <v>2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2">
        <v>8</v>
      </c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2">
        <v>8</v>
      </c>
      <c r="S26" s="32">
        <v>8</v>
      </c>
      <c r="T26" s="33"/>
      <c r="U26" s="33"/>
      <c r="V26" s="32">
        <v>8</v>
      </c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504</v>
      </c>
      <c r="G32" s="194">
        <f t="shared" si="16"/>
        <v>504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32</v>
      </c>
      <c r="M32" s="194">
        <f t="shared" si="16"/>
        <v>0</v>
      </c>
      <c r="N32" s="194">
        <f t="shared" si="16"/>
        <v>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99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45413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45413</v>
      </c>
      <c r="J3" s="14">
        <f t="shared" ref="J3:W3" si="0">I3+1</f>
        <v>45414</v>
      </c>
      <c r="K3" s="14">
        <f t="shared" si="0"/>
        <v>45415</v>
      </c>
      <c r="L3" s="14">
        <f t="shared" si="0"/>
        <v>45416</v>
      </c>
      <c r="M3" s="14">
        <f t="shared" si="0"/>
        <v>45417</v>
      </c>
      <c r="N3" s="14">
        <f t="shared" si="0"/>
        <v>45418</v>
      </c>
      <c r="O3" s="14">
        <f t="shared" si="0"/>
        <v>45419</v>
      </c>
      <c r="P3" s="14">
        <f t="shared" si="0"/>
        <v>45420</v>
      </c>
      <c r="Q3" s="14">
        <f t="shared" si="0"/>
        <v>45421</v>
      </c>
      <c r="R3" s="14">
        <f t="shared" si="0"/>
        <v>45422</v>
      </c>
      <c r="S3" s="14">
        <f t="shared" si="0"/>
        <v>45423</v>
      </c>
      <c r="T3" s="14">
        <f t="shared" si="0"/>
        <v>45424</v>
      </c>
      <c r="U3" s="14">
        <f t="shared" si="0"/>
        <v>45425</v>
      </c>
      <c r="V3" s="14">
        <f t="shared" si="0"/>
        <v>45426</v>
      </c>
      <c r="W3" s="14">
        <f t="shared" si="0"/>
        <v>45427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Wed</v>
      </c>
      <c r="J4" s="21" t="str">
        <f t="shared" si="1"/>
        <v>Thu</v>
      </c>
      <c r="K4" s="21" t="str">
        <f t="shared" si="1"/>
        <v>Fri</v>
      </c>
      <c r="L4" s="22" t="str">
        <f t="shared" si="1"/>
        <v>Sat</v>
      </c>
      <c r="M4" s="22" t="str">
        <f t="shared" si="1"/>
        <v>Sun</v>
      </c>
      <c r="N4" s="20" t="str">
        <f t="shared" si="1"/>
        <v>Mon</v>
      </c>
      <c r="O4" s="20" t="str">
        <f t="shared" si="1"/>
        <v>Tue</v>
      </c>
      <c r="P4" s="22" t="str">
        <f t="shared" si="1"/>
        <v>Wed</v>
      </c>
      <c r="Q4" s="22" t="str">
        <f t="shared" si="1"/>
        <v>Thu</v>
      </c>
      <c r="R4" s="22" t="str">
        <f t="shared" si="1"/>
        <v>Fri</v>
      </c>
      <c r="S4" s="22" t="str">
        <f t="shared" si="1"/>
        <v>Sat</v>
      </c>
      <c r="T4" s="22" t="str">
        <f t="shared" si="1"/>
        <v>Sun</v>
      </c>
      <c r="U4" s="22" t="str">
        <f t="shared" si="1"/>
        <v>Mon</v>
      </c>
      <c r="V4" s="22" t="str">
        <f t="shared" si="1"/>
        <v>Tue</v>
      </c>
      <c r="W4" s="22" t="str">
        <f t="shared" si="1"/>
        <v>Wed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2">
        <v>8</v>
      </c>
      <c r="K5" s="32">
        <v>8</v>
      </c>
      <c r="L5" s="33"/>
      <c r="M5" s="33"/>
      <c r="N5" s="32">
        <v>8</v>
      </c>
      <c r="O5" s="32">
        <v>8</v>
      </c>
      <c r="P5" s="32">
        <v>8</v>
      </c>
      <c r="Q5" s="32">
        <v>8</v>
      </c>
      <c r="R5" s="32">
        <v>8</v>
      </c>
      <c r="S5" s="33"/>
      <c r="T5" s="33"/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2">
        <v>8</v>
      </c>
      <c r="K6" s="32">
        <v>8</v>
      </c>
      <c r="L6" s="33"/>
      <c r="M6" s="33"/>
      <c r="N6" s="32">
        <v>8</v>
      </c>
      <c r="O6" s="32">
        <v>8</v>
      </c>
      <c r="P6" s="32">
        <v>8</v>
      </c>
      <c r="Q6" s="32">
        <v>8</v>
      </c>
      <c r="R6" s="32">
        <v>8</v>
      </c>
      <c r="S6" s="33"/>
      <c r="T6" s="33"/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1"/>
      <c r="J7" s="32">
        <v>8</v>
      </c>
      <c r="K7" s="32">
        <v>8</v>
      </c>
      <c r="L7" s="33"/>
      <c r="M7" s="33"/>
      <c r="N7" s="32">
        <v>8</v>
      </c>
      <c r="O7" s="32">
        <v>8</v>
      </c>
      <c r="P7" s="32">
        <v>8</v>
      </c>
      <c r="Q7" s="32">
        <v>8</v>
      </c>
      <c r="R7" s="38"/>
      <c r="S7" s="33"/>
      <c r="T7" s="33"/>
      <c r="U7" s="38"/>
      <c r="V7" s="32">
        <v>8</v>
      </c>
      <c r="W7" s="32">
        <v>8</v>
      </c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1"/>
      <c r="J8" s="38"/>
      <c r="K8" s="32">
        <v>8</v>
      </c>
      <c r="L8" s="33"/>
      <c r="M8" s="33"/>
      <c r="N8" s="32">
        <v>8</v>
      </c>
      <c r="O8" s="32">
        <v>8</v>
      </c>
      <c r="P8" s="32">
        <v>8</v>
      </c>
      <c r="Q8" s="32">
        <v>8</v>
      </c>
      <c r="R8" s="32">
        <v>8</v>
      </c>
      <c r="S8" s="33"/>
      <c r="T8" s="33"/>
      <c r="U8" s="32">
        <v>8</v>
      </c>
      <c r="V8" s="32">
        <v>8</v>
      </c>
      <c r="W8" s="32">
        <v>8</v>
      </c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1"/>
      <c r="J9" s="32">
        <v>8</v>
      </c>
      <c r="K9" s="32">
        <v>8</v>
      </c>
      <c r="L9" s="33"/>
      <c r="M9" s="33"/>
      <c r="N9" s="32">
        <v>8</v>
      </c>
      <c r="O9" s="32">
        <v>8</v>
      </c>
      <c r="P9" s="32">
        <v>8</v>
      </c>
      <c r="Q9" s="32">
        <v>8</v>
      </c>
      <c r="R9" s="32">
        <v>8</v>
      </c>
      <c r="S9" s="33"/>
      <c r="T9" s="33"/>
      <c r="U9" s="32">
        <v>8</v>
      </c>
      <c r="V9" s="32">
        <v>8</v>
      </c>
      <c r="W9" s="32">
        <v>8</v>
      </c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2">
        <v>8</v>
      </c>
      <c r="K10" s="32">
        <v>8</v>
      </c>
      <c r="L10" s="33"/>
      <c r="M10" s="33"/>
      <c r="N10" s="32">
        <v>8</v>
      </c>
      <c r="O10" s="32">
        <v>8</v>
      </c>
      <c r="P10" s="32">
        <v>8</v>
      </c>
      <c r="Q10" s="38"/>
      <c r="R10" s="32">
        <v>8</v>
      </c>
      <c r="S10" s="33"/>
      <c r="T10" s="33"/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0</v>
      </c>
      <c r="J16" s="194">
        <f t="shared" si="8"/>
        <v>40</v>
      </c>
      <c r="K16" s="194">
        <f t="shared" si="8"/>
        <v>48</v>
      </c>
      <c r="L16" s="194">
        <f t="shared" si="8"/>
        <v>0</v>
      </c>
      <c r="M16" s="194">
        <f t="shared" si="8"/>
        <v>0</v>
      </c>
      <c r="N16" s="194">
        <f t="shared" si="8"/>
        <v>48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40</v>
      </c>
      <c r="S16" s="194">
        <f t="shared" si="8"/>
        <v>0</v>
      </c>
      <c r="T16" s="194">
        <f t="shared" si="8"/>
        <v>0</v>
      </c>
      <c r="U16" s="194">
        <f t="shared" si="8"/>
        <v>40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45428</v>
      </c>
      <c r="J19" s="44">
        <f t="shared" ref="J19:X19" si="9">I19+1</f>
        <v>45429</v>
      </c>
      <c r="K19" s="44">
        <f t="shared" si="9"/>
        <v>45430</v>
      </c>
      <c r="L19" s="14">
        <f t="shared" si="9"/>
        <v>45431</v>
      </c>
      <c r="M19" s="44">
        <f t="shared" si="9"/>
        <v>45432</v>
      </c>
      <c r="N19" s="44">
        <f t="shared" si="9"/>
        <v>45433</v>
      </c>
      <c r="O19" s="44">
        <f t="shared" si="9"/>
        <v>45434</v>
      </c>
      <c r="P19" s="44">
        <f t="shared" si="9"/>
        <v>45435</v>
      </c>
      <c r="Q19" s="44">
        <f t="shared" si="9"/>
        <v>45436</v>
      </c>
      <c r="R19" s="44">
        <f t="shared" si="9"/>
        <v>45437</v>
      </c>
      <c r="S19" s="44">
        <f t="shared" si="9"/>
        <v>45438</v>
      </c>
      <c r="T19" s="44">
        <f t="shared" si="9"/>
        <v>45439</v>
      </c>
      <c r="U19" s="44">
        <f t="shared" si="9"/>
        <v>45440</v>
      </c>
      <c r="V19" s="44">
        <f t="shared" si="9"/>
        <v>45441</v>
      </c>
      <c r="W19" s="44">
        <f t="shared" si="9"/>
        <v>45442</v>
      </c>
      <c r="X19" s="44">
        <f t="shared" si="9"/>
        <v>45443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Thu</v>
      </c>
      <c r="J20" s="22" t="str">
        <f t="shared" si="10"/>
        <v>Fri</v>
      </c>
      <c r="K20" s="22" t="str">
        <f t="shared" si="10"/>
        <v>Sat</v>
      </c>
      <c r="L20" s="22" t="str">
        <f t="shared" si="10"/>
        <v>Sun</v>
      </c>
      <c r="M20" s="22" t="str">
        <f t="shared" si="10"/>
        <v>Mon</v>
      </c>
      <c r="N20" s="22" t="str">
        <f t="shared" si="10"/>
        <v>Tue</v>
      </c>
      <c r="O20" s="22" t="str">
        <f t="shared" si="10"/>
        <v>Wed</v>
      </c>
      <c r="P20" s="21" t="str">
        <f t="shared" si="10"/>
        <v>Thu</v>
      </c>
      <c r="Q20" s="21" t="str">
        <f t="shared" si="10"/>
        <v>Fri</v>
      </c>
      <c r="R20" s="22" t="str">
        <f t="shared" si="10"/>
        <v>Sat</v>
      </c>
      <c r="S20" s="22" t="str">
        <f t="shared" si="10"/>
        <v>Sun</v>
      </c>
      <c r="T20" s="22" t="str">
        <f t="shared" si="10"/>
        <v>Mon</v>
      </c>
      <c r="U20" s="22" t="str">
        <f t="shared" si="10"/>
        <v>Tue</v>
      </c>
      <c r="V20" s="22" t="str">
        <f t="shared" si="10"/>
        <v>Wed</v>
      </c>
      <c r="W20" s="22" t="str">
        <f t="shared" si="10"/>
        <v>Thu</v>
      </c>
      <c r="X20" s="22" t="str">
        <f t="shared" si="10"/>
        <v>Fri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2">
        <v>8</v>
      </c>
      <c r="J21" s="32">
        <v>8</v>
      </c>
      <c r="K21" s="33"/>
      <c r="L21" s="33"/>
      <c r="M21" s="32">
        <v>8</v>
      </c>
      <c r="N21" s="32">
        <v>8</v>
      </c>
      <c r="O21" s="32">
        <v>8</v>
      </c>
      <c r="P21" s="38"/>
      <c r="Q21" s="38"/>
      <c r="R21" s="33"/>
      <c r="S21" s="33"/>
      <c r="T21" s="32">
        <v>8</v>
      </c>
      <c r="U21" s="32">
        <v>8</v>
      </c>
      <c r="V21" s="46">
        <v>8</v>
      </c>
      <c r="W21" s="32">
        <v>8</v>
      </c>
      <c r="X21" s="32">
        <v>8</v>
      </c>
      <c r="Y21" s="29">
        <f t="shared" ref="Y21:Y26" si="15">Z21-COUNTA(I21:X21)</f>
        <v>2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3"/>
      <c r="L22" s="33"/>
      <c r="M22" s="32">
        <v>8</v>
      </c>
      <c r="N22" s="32">
        <v>8</v>
      </c>
      <c r="O22" s="32">
        <v>8</v>
      </c>
      <c r="P22" s="32">
        <v>8</v>
      </c>
      <c r="Q22" s="32">
        <v>8</v>
      </c>
      <c r="R22" s="33"/>
      <c r="S22" s="33"/>
      <c r="T22" s="32">
        <v>8</v>
      </c>
      <c r="U22" s="32">
        <v>8</v>
      </c>
      <c r="V22" s="46">
        <v>8</v>
      </c>
      <c r="W22" s="32">
        <v>8</v>
      </c>
      <c r="X22" s="32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3"/>
      <c r="L23" s="33"/>
      <c r="M23" s="38"/>
      <c r="N23" s="32">
        <v>8</v>
      </c>
      <c r="O23" s="32">
        <v>8</v>
      </c>
      <c r="P23" s="32">
        <v>8</v>
      </c>
      <c r="Q23" s="32">
        <v>8</v>
      </c>
      <c r="R23" s="47"/>
      <c r="S23" s="33"/>
      <c r="T23" s="32">
        <v>8</v>
      </c>
      <c r="U23" s="32">
        <v>8</v>
      </c>
      <c r="V23" s="46">
        <v>8</v>
      </c>
      <c r="W23" s="32">
        <v>8</v>
      </c>
      <c r="X23" s="32">
        <v>8</v>
      </c>
      <c r="Y23" s="29">
        <f t="shared" si="15"/>
        <v>1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96</v>
      </c>
      <c r="G24" s="29">
        <f t="shared" si="14"/>
        <v>96</v>
      </c>
      <c r="H24" s="30">
        <v>0</v>
      </c>
      <c r="I24" s="32">
        <v>8</v>
      </c>
      <c r="J24" s="32">
        <v>8</v>
      </c>
      <c r="K24" s="33"/>
      <c r="L24" s="33"/>
      <c r="M24" s="32">
        <v>8</v>
      </c>
      <c r="N24" s="32">
        <v>8</v>
      </c>
      <c r="O24" s="32">
        <v>8</v>
      </c>
      <c r="P24" s="32">
        <v>8</v>
      </c>
      <c r="Q24" s="32">
        <v>8</v>
      </c>
      <c r="R24" s="33"/>
      <c r="S24" s="33"/>
      <c r="T24" s="32">
        <v>8</v>
      </c>
      <c r="U24" s="32">
        <v>8</v>
      </c>
      <c r="V24" s="46">
        <v>8</v>
      </c>
      <c r="W24" s="32">
        <v>8</v>
      </c>
      <c r="X24" s="32">
        <v>8</v>
      </c>
      <c r="Y24" s="29">
        <f t="shared" si="15"/>
        <v>0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3"/>
      <c r="L25" s="33"/>
      <c r="M25" s="32"/>
      <c r="N25" s="32">
        <v>8</v>
      </c>
      <c r="O25" s="32">
        <v>8</v>
      </c>
      <c r="P25" s="32">
        <v>8</v>
      </c>
      <c r="Q25" s="32">
        <v>8</v>
      </c>
      <c r="R25" s="47"/>
      <c r="S25" s="33"/>
      <c r="T25" s="32">
        <v>8</v>
      </c>
      <c r="U25" s="32">
        <v>8</v>
      </c>
      <c r="V25" s="46">
        <v>8</v>
      </c>
      <c r="W25" s="32">
        <v>8</v>
      </c>
      <c r="X25" s="32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3"/>
      <c r="L26" s="33"/>
      <c r="M26" s="38"/>
      <c r="N26" s="32">
        <v>8</v>
      </c>
      <c r="O26" s="32">
        <v>8</v>
      </c>
      <c r="P26" s="32">
        <v>8</v>
      </c>
      <c r="Q26" s="32">
        <v>8</v>
      </c>
      <c r="R26" s="33"/>
      <c r="S26" s="33"/>
      <c r="T26" s="32">
        <v>8</v>
      </c>
      <c r="U26" s="32">
        <v>8</v>
      </c>
      <c r="V26" s="32">
        <v>8</v>
      </c>
      <c r="W26" s="32">
        <v>8</v>
      </c>
      <c r="X26" s="32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536</v>
      </c>
      <c r="G32" s="194">
        <f t="shared" si="16"/>
        <v>536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0</v>
      </c>
      <c r="L32" s="194">
        <f t="shared" si="16"/>
        <v>0</v>
      </c>
      <c r="M32" s="194">
        <f t="shared" si="16"/>
        <v>24</v>
      </c>
      <c r="N32" s="194">
        <f t="shared" si="16"/>
        <v>48</v>
      </c>
      <c r="O32" s="194">
        <f t="shared" si="16"/>
        <v>48</v>
      </c>
      <c r="P32" s="194">
        <f t="shared" si="16"/>
        <v>40</v>
      </c>
      <c r="Q32" s="194">
        <f t="shared" si="16"/>
        <v>40</v>
      </c>
      <c r="R32" s="194">
        <f t="shared" si="16"/>
        <v>0</v>
      </c>
      <c r="S32" s="194">
        <f t="shared" si="16"/>
        <v>0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176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176</v>
      </c>
      <c r="C37" s="60">
        <f t="shared" si="18"/>
        <v>176</v>
      </c>
      <c r="D37" s="61">
        <f t="shared" si="19"/>
        <v>176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176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176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176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176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176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45444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45444</v>
      </c>
      <c r="J3" s="14">
        <f t="shared" ref="J3:W3" si="0">I3+1</f>
        <v>45445</v>
      </c>
      <c r="K3" s="14">
        <f t="shared" si="0"/>
        <v>45446</v>
      </c>
      <c r="L3" s="14">
        <f t="shared" si="0"/>
        <v>45447</v>
      </c>
      <c r="M3" s="14">
        <f t="shared" si="0"/>
        <v>45448</v>
      </c>
      <c r="N3" s="14">
        <f t="shared" si="0"/>
        <v>45449</v>
      </c>
      <c r="O3" s="14">
        <f t="shared" si="0"/>
        <v>45450</v>
      </c>
      <c r="P3" s="14">
        <f t="shared" si="0"/>
        <v>45451</v>
      </c>
      <c r="Q3" s="14">
        <f t="shared" si="0"/>
        <v>45452</v>
      </c>
      <c r="R3" s="14">
        <f t="shared" si="0"/>
        <v>45453</v>
      </c>
      <c r="S3" s="14">
        <f t="shared" si="0"/>
        <v>45454</v>
      </c>
      <c r="T3" s="14">
        <f t="shared" si="0"/>
        <v>45455</v>
      </c>
      <c r="U3" s="14">
        <f t="shared" si="0"/>
        <v>45456</v>
      </c>
      <c r="V3" s="14">
        <f t="shared" si="0"/>
        <v>45457</v>
      </c>
      <c r="W3" s="14">
        <f t="shared" si="0"/>
        <v>45458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Sat</v>
      </c>
      <c r="J4" s="21" t="str">
        <f t="shared" si="1"/>
        <v>Sun</v>
      </c>
      <c r="K4" s="21" t="str">
        <f t="shared" si="1"/>
        <v>Mon</v>
      </c>
      <c r="L4" s="22" t="str">
        <f t="shared" si="1"/>
        <v>Tue</v>
      </c>
      <c r="M4" s="22" t="str">
        <f t="shared" si="1"/>
        <v>Wed</v>
      </c>
      <c r="N4" s="20" t="str">
        <f t="shared" si="1"/>
        <v>Thu</v>
      </c>
      <c r="O4" s="20" t="str">
        <f t="shared" si="1"/>
        <v>Fri</v>
      </c>
      <c r="P4" s="22" t="str">
        <f t="shared" si="1"/>
        <v>Sat</v>
      </c>
      <c r="Q4" s="22" t="str">
        <f t="shared" si="1"/>
        <v>Sun</v>
      </c>
      <c r="R4" s="22" t="str">
        <f t="shared" si="1"/>
        <v>Mon</v>
      </c>
      <c r="S4" s="22" t="str">
        <f t="shared" si="1"/>
        <v>Tue</v>
      </c>
      <c r="T4" s="22" t="str">
        <f t="shared" si="1"/>
        <v>Wed</v>
      </c>
      <c r="U4" s="22" t="str">
        <f t="shared" si="1"/>
        <v>Thu</v>
      </c>
      <c r="V4" s="22" t="str">
        <f t="shared" si="1"/>
        <v>Fri</v>
      </c>
      <c r="W4" s="22" t="str">
        <f t="shared" si="1"/>
        <v>Sat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3"/>
      <c r="K5" s="96">
        <v>8</v>
      </c>
      <c r="L5" s="96">
        <v>8</v>
      </c>
      <c r="M5" s="96">
        <v>8</v>
      </c>
      <c r="N5" s="96">
        <v>8</v>
      </c>
      <c r="O5" s="96">
        <v>8</v>
      </c>
      <c r="P5" s="33"/>
      <c r="Q5" s="33"/>
      <c r="R5" s="96">
        <v>8</v>
      </c>
      <c r="S5" s="96">
        <v>8</v>
      </c>
      <c r="T5" s="96">
        <v>8</v>
      </c>
      <c r="U5" s="96">
        <v>8</v>
      </c>
      <c r="V5" s="96">
        <v>8</v>
      </c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3"/>
      <c r="J6" s="33"/>
      <c r="K6" s="96">
        <v>8</v>
      </c>
      <c r="L6" s="96">
        <v>8</v>
      </c>
      <c r="M6" s="96">
        <v>8</v>
      </c>
      <c r="N6" s="38"/>
      <c r="O6" s="38"/>
      <c r="P6" s="33"/>
      <c r="Q6" s="33"/>
      <c r="R6" s="96">
        <v>8</v>
      </c>
      <c r="S6" s="96">
        <v>8</v>
      </c>
      <c r="T6" s="96">
        <v>8</v>
      </c>
      <c r="U6" s="96">
        <v>8</v>
      </c>
      <c r="V6" s="96">
        <v>8</v>
      </c>
      <c r="W6" s="33"/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72</v>
      </c>
      <c r="G7" s="29">
        <f t="shared" si="5"/>
        <v>72</v>
      </c>
      <c r="H7" s="30">
        <v>0</v>
      </c>
      <c r="I7" s="33"/>
      <c r="J7" s="33"/>
      <c r="K7" s="96">
        <v>8</v>
      </c>
      <c r="L7" s="96">
        <v>8</v>
      </c>
      <c r="M7" s="96">
        <v>8</v>
      </c>
      <c r="N7" s="96">
        <v>8</v>
      </c>
      <c r="O7" s="96">
        <v>8</v>
      </c>
      <c r="P7" s="33"/>
      <c r="Q7" s="33"/>
      <c r="R7" s="96">
        <v>8</v>
      </c>
      <c r="S7" s="38"/>
      <c r="T7" s="96">
        <v>8</v>
      </c>
      <c r="U7" s="96">
        <v>8</v>
      </c>
      <c r="V7" s="96">
        <v>8</v>
      </c>
      <c r="W7" s="33"/>
      <c r="X7" s="29">
        <f t="shared" si="6"/>
        <v>1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3"/>
      <c r="K8" s="32">
        <v>8</v>
      </c>
      <c r="L8" s="96">
        <v>8</v>
      </c>
      <c r="M8" s="96">
        <v>8</v>
      </c>
      <c r="N8" s="96">
        <v>8</v>
      </c>
      <c r="O8" s="96">
        <v>8</v>
      </c>
      <c r="P8" s="33"/>
      <c r="Q8" s="33"/>
      <c r="R8" s="96">
        <v>8</v>
      </c>
      <c r="S8" s="96">
        <v>8</v>
      </c>
      <c r="T8" s="96">
        <v>8</v>
      </c>
      <c r="U8" s="96">
        <v>8</v>
      </c>
      <c r="V8" s="96">
        <v>8</v>
      </c>
      <c r="W8" s="33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64</v>
      </c>
      <c r="G9" s="29">
        <f t="shared" si="5"/>
        <v>64</v>
      </c>
      <c r="H9" s="30">
        <v>0</v>
      </c>
      <c r="I9" s="33"/>
      <c r="J9" s="33"/>
      <c r="K9" s="38"/>
      <c r="L9" s="96">
        <v>8</v>
      </c>
      <c r="M9" s="96">
        <v>8</v>
      </c>
      <c r="N9" s="96">
        <v>8</v>
      </c>
      <c r="O9" s="96">
        <v>8</v>
      </c>
      <c r="P9" s="33"/>
      <c r="Q9" s="33"/>
      <c r="R9" s="96">
        <v>8</v>
      </c>
      <c r="S9" s="96">
        <v>8</v>
      </c>
      <c r="T9" s="96">
        <v>8</v>
      </c>
      <c r="U9" s="96">
        <v>8</v>
      </c>
      <c r="V9" s="97"/>
      <c r="W9" s="33"/>
      <c r="X9" s="29">
        <f t="shared" si="6"/>
        <v>2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3"/>
      <c r="K10" s="96">
        <v>8</v>
      </c>
      <c r="L10" s="96">
        <v>8</v>
      </c>
      <c r="M10" s="96">
        <v>8</v>
      </c>
      <c r="N10" s="96">
        <v>8</v>
      </c>
      <c r="O10" s="96">
        <v>8</v>
      </c>
      <c r="P10" s="33"/>
      <c r="Q10" s="33"/>
      <c r="R10" s="96">
        <v>8</v>
      </c>
      <c r="S10" s="96">
        <v>8</v>
      </c>
      <c r="T10" s="96">
        <v>8</v>
      </c>
      <c r="U10" s="96">
        <v>8</v>
      </c>
      <c r="V10" s="38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432</v>
      </c>
      <c r="G16" s="194">
        <f t="shared" si="8"/>
        <v>432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40</v>
      </c>
      <c r="L16" s="194">
        <f t="shared" si="8"/>
        <v>48</v>
      </c>
      <c r="M16" s="194">
        <f t="shared" si="8"/>
        <v>48</v>
      </c>
      <c r="N16" s="194">
        <f t="shared" si="8"/>
        <v>40</v>
      </c>
      <c r="O16" s="194">
        <f t="shared" si="8"/>
        <v>40</v>
      </c>
      <c r="P16" s="194">
        <f t="shared" si="8"/>
        <v>0</v>
      </c>
      <c r="Q16" s="194">
        <f t="shared" si="8"/>
        <v>0</v>
      </c>
      <c r="R16" s="194">
        <f t="shared" si="8"/>
        <v>48</v>
      </c>
      <c r="S16" s="194">
        <f t="shared" si="8"/>
        <v>40</v>
      </c>
      <c r="T16" s="194">
        <f t="shared" si="8"/>
        <v>48</v>
      </c>
      <c r="U16" s="194">
        <f t="shared" si="8"/>
        <v>48</v>
      </c>
      <c r="V16" s="194">
        <f t="shared" si="8"/>
        <v>32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45459</v>
      </c>
      <c r="J19" s="44">
        <f t="shared" ref="J19:W19" si="9">I19+1</f>
        <v>45460</v>
      </c>
      <c r="K19" s="44">
        <f t="shared" si="9"/>
        <v>45461</v>
      </c>
      <c r="L19" s="14">
        <f t="shared" si="9"/>
        <v>45462</v>
      </c>
      <c r="M19" s="44">
        <f t="shared" si="9"/>
        <v>45463</v>
      </c>
      <c r="N19" s="44">
        <f t="shared" si="9"/>
        <v>45464</v>
      </c>
      <c r="O19" s="44">
        <f t="shared" si="9"/>
        <v>45465</v>
      </c>
      <c r="P19" s="44">
        <f t="shared" si="9"/>
        <v>45466</v>
      </c>
      <c r="Q19" s="44">
        <f t="shared" si="9"/>
        <v>45467</v>
      </c>
      <c r="R19" s="44">
        <f t="shared" si="9"/>
        <v>45468</v>
      </c>
      <c r="S19" s="44">
        <f t="shared" si="9"/>
        <v>45469</v>
      </c>
      <c r="T19" s="44">
        <f t="shared" si="9"/>
        <v>45470</v>
      </c>
      <c r="U19" s="44">
        <f t="shared" si="9"/>
        <v>45471</v>
      </c>
      <c r="V19" s="44">
        <f t="shared" si="9"/>
        <v>45472</v>
      </c>
      <c r="W19" s="44">
        <f t="shared" si="9"/>
        <v>45473</v>
      </c>
      <c r="X19" s="98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Sun</v>
      </c>
      <c r="J20" s="22" t="str">
        <f t="shared" si="10"/>
        <v>Mon</v>
      </c>
      <c r="K20" s="22" t="str">
        <f t="shared" si="10"/>
        <v>Tue</v>
      </c>
      <c r="L20" s="22" t="str">
        <f t="shared" si="10"/>
        <v>Wed</v>
      </c>
      <c r="M20" s="22" t="str">
        <f t="shared" si="10"/>
        <v>Thu</v>
      </c>
      <c r="N20" s="22" t="str">
        <f t="shared" si="10"/>
        <v>Fri</v>
      </c>
      <c r="O20" s="22" t="str">
        <f t="shared" si="10"/>
        <v>Sat</v>
      </c>
      <c r="P20" s="21" t="str">
        <f t="shared" si="10"/>
        <v>Sun</v>
      </c>
      <c r="Q20" s="21" t="str">
        <f t="shared" si="10"/>
        <v>Mon</v>
      </c>
      <c r="R20" s="22" t="str">
        <f t="shared" si="10"/>
        <v>Tue</v>
      </c>
      <c r="S20" s="22" t="str">
        <f t="shared" si="10"/>
        <v>Wed</v>
      </c>
      <c r="T20" s="22" t="str">
        <f t="shared" si="10"/>
        <v>Thu</v>
      </c>
      <c r="U20" s="22" t="str">
        <f t="shared" si="10"/>
        <v>Fri</v>
      </c>
      <c r="V20" s="22" t="str">
        <f t="shared" si="10"/>
        <v>Sat</v>
      </c>
      <c r="W20" s="22" t="str">
        <f t="shared" si="10"/>
        <v>Sun</v>
      </c>
      <c r="X20" s="99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96">
        <v>8</v>
      </c>
      <c r="K21" s="96">
        <v>8</v>
      </c>
      <c r="L21" s="96">
        <v>8</v>
      </c>
      <c r="M21" s="96">
        <v>8</v>
      </c>
      <c r="N21" s="96">
        <v>8</v>
      </c>
      <c r="O21" s="33"/>
      <c r="P21" s="33"/>
      <c r="Q21" s="96">
        <v>8</v>
      </c>
      <c r="R21" s="96">
        <v>8</v>
      </c>
      <c r="S21" s="96">
        <v>8</v>
      </c>
      <c r="T21" s="96">
        <v>8</v>
      </c>
      <c r="U21" s="96">
        <v>8</v>
      </c>
      <c r="V21" s="100"/>
      <c r="W21" s="33"/>
      <c r="X21" s="96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96">
        <v>8</v>
      </c>
      <c r="K22" s="96">
        <v>8</v>
      </c>
      <c r="L22" s="96">
        <v>8</v>
      </c>
      <c r="M22" s="96">
        <v>8</v>
      </c>
      <c r="N22" s="96">
        <v>8</v>
      </c>
      <c r="O22" s="33"/>
      <c r="P22" s="33"/>
      <c r="Q22" s="96">
        <v>8</v>
      </c>
      <c r="R22" s="96">
        <v>8</v>
      </c>
      <c r="S22" s="96">
        <v>8</v>
      </c>
      <c r="T22" s="96">
        <v>8</v>
      </c>
      <c r="U22" s="96">
        <v>8</v>
      </c>
      <c r="V22" s="100"/>
      <c r="W22" s="33"/>
      <c r="X22" s="96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80</v>
      </c>
      <c r="G23" s="29">
        <f t="shared" si="14"/>
        <v>80</v>
      </c>
      <c r="H23" s="30">
        <v>0</v>
      </c>
      <c r="I23" s="33"/>
      <c r="J23" s="96">
        <v>8</v>
      </c>
      <c r="K23" s="96">
        <v>8</v>
      </c>
      <c r="L23" s="96">
        <v>8</v>
      </c>
      <c r="M23" s="96">
        <v>8</v>
      </c>
      <c r="N23" s="96">
        <v>8</v>
      </c>
      <c r="O23" s="33"/>
      <c r="P23" s="33"/>
      <c r="Q23" s="96">
        <v>8</v>
      </c>
      <c r="R23" s="101">
        <v>8</v>
      </c>
      <c r="S23" s="96">
        <v>8</v>
      </c>
      <c r="T23" s="96">
        <v>8</v>
      </c>
      <c r="U23" s="96">
        <v>8</v>
      </c>
      <c r="V23" s="100"/>
      <c r="W23" s="33"/>
      <c r="X23" s="96"/>
      <c r="Y23" s="29">
        <f t="shared" si="15"/>
        <v>0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80</v>
      </c>
      <c r="G24" s="29">
        <f t="shared" si="14"/>
        <v>80</v>
      </c>
      <c r="H24" s="30">
        <v>0</v>
      </c>
      <c r="I24" s="33"/>
      <c r="J24" s="96">
        <v>8</v>
      </c>
      <c r="K24" s="96">
        <v>8</v>
      </c>
      <c r="L24" s="96">
        <v>8</v>
      </c>
      <c r="M24" s="96">
        <v>8</v>
      </c>
      <c r="N24" s="96">
        <v>8</v>
      </c>
      <c r="O24" s="33"/>
      <c r="P24" s="33"/>
      <c r="Q24" s="96">
        <v>8</v>
      </c>
      <c r="R24" s="96">
        <v>8</v>
      </c>
      <c r="S24" s="96">
        <v>8</v>
      </c>
      <c r="T24" s="96">
        <v>8</v>
      </c>
      <c r="U24" s="96">
        <v>8</v>
      </c>
      <c r="V24" s="100"/>
      <c r="W24" s="33"/>
      <c r="X24" s="96"/>
      <c r="Y24" s="29">
        <f t="shared" si="15"/>
        <v>0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96">
        <v>8</v>
      </c>
      <c r="K25" s="96">
        <v>8</v>
      </c>
      <c r="L25" s="96">
        <v>8</v>
      </c>
      <c r="M25" s="96">
        <v>8</v>
      </c>
      <c r="N25" s="96">
        <v>8</v>
      </c>
      <c r="O25" s="33"/>
      <c r="P25" s="33"/>
      <c r="Q25" s="96">
        <v>8</v>
      </c>
      <c r="R25" s="101">
        <v>8</v>
      </c>
      <c r="S25" s="96">
        <v>8</v>
      </c>
      <c r="T25" s="96">
        <v>8</v>
      </c>
      <c r="U25" s="96">
        <v>8</v>
      </c>
      <c r="V25" s="100"/>
      <c r="W25" s="33"/>
      <c r="X25" s="96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80</v>
      </c>
      <c r="G26" s="29">
        <f t="shared" si="14"/>
        <v>80</v>
      </c>
      <c r="H26" s="30">
        <v>0</v>
      </c>
      <c r="I26" s="33"/>
      <c r="J26" s="96">
        <v>8</v>
      </c>
      <c r="K26" s="96">
        <v>8</v>
      </c>
      <c r="L26" s="96">
        <v>8</v>
      </c>
      <c r="M26" s="96">
        <v>8</v>
      </c>
      <c r="N26" s="96">
        <v>8</v>
      </c>
      <c r="O26" s="33"/>
      <c r="P26" s="33"/>
      <c r="Q26" s="96">
        <v>8</v>
      </c>
      <c r="R26" s="96">
        <v>8</v>
      </c>
      <c r="S26" s="96">
        <v>8</v>
      </c>
      <c r="T26" s="96">
        <v>8</v>
      </c>
      <c r="U26" s="96">
        <v>8</v>
      </c>
      <c r="V26" s="33"/>
      <c r="W26" s="33"/>
      <c r="X26" s="96"/>
      <c r="Y26" s="29">
        <f t="shared" si="15"/>
        <v>0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480</v>
      </c>
      <c r="G32" s="194">
        <f t="shared" si="16"/>
        <v>480</v>
      </c>
      <c r="H32" s="194">
        <f t="shared" si="16"/>
        <v>0</v>
      </c>
      <c r="I32" s="194">
        <f t="shared" si="16"/>
        <v>0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0</v>
      </c>
      <c r="P32" s="194">
        <f t="shared" si="16"/>
        <v>0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144</v>
      </c>
      <c r="C37" s="60">
        <f t="shared" si="18"/>
        <v>160</v>
      </c>
      <c r="D37" s="61">
        <f t="shared" si="19"/>
        <v>144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160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144</v>
      </c>
      <c r="C40" s="60">
        <f t="shared" si="18"/>
        <v>160</v>
      </c>
      <c r="D40" s="61">
        <f t="shared" si="19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152</v>
      </c>
      <c r="C41" s="67">
        <f t="shared" si="18"/>
        <v>160</v>
      </c>
      <c r="D41" s="68">
        <f t="shared" si="19"/>
        <v>152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/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FF00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45474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45474</v>
      </c>
      <c r="J3" s="14">
        <f t="shared" ref="J3:W3" si="0">I3+1</f>
        <v>45475</v>
      </c>
      <c r="K3" s="14">
        <f t="shared" si="0"/>
        <v>45476</v>
      </c>
      <c r="L3" s="14">
        <f t="shared" si="0"/>
        <v>45477</v>
      </c>
      <c r="M3" s="14">
        <f t="shared" si="0"/>
        <v>45478</v>
      </c>
      <c r="N3" s="14">
        <f t="shared" si="0"/>
        <v>45479</v>
      </c>
      <c r="O3" s="14">
        <f t="shared" si="0"/>
        <v>45480</v>
      </c>
      <c r="P3" s="14">
        <f t="shared" si="0"/>
        <v>45481</v>
      </c>
      <c r="Q3" s="14">
        <f t="shared" si="0"/>
        <v>45482</v>
      </c>
      <c r="R3" s="14">
        <f t="shared" si="0"/>
        <v>45483</v>
      </c>
      <c r="S3" s="14">
        <f t="shared" si="0"/>
        <v>45484</v>
      </c>
      <c r="T3" s="14">
        <f t="shared" si="0"/>
        <v>45485</v>
      </c>
      <c r="U3" s="14">
        <f t="shared" si="0"/>
        <v>45486</v>
      </c>
      <c r="V3" s="14">
        <f t="shared" si="0"/>
        <v>45487</v>
      </c>
      <c r="W3" s="14">
        <f t="shared" si="0"/>
        <v>45488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Mon</v>
      </c>
      <c r="J4" s="21" t="str">
        <f t="shared" si="1"/>
        <v>Tue</v>
      </c>
      <c r="K4" s="21" t="str">
        <f t="shared" si="1"/>
        <v>Wed</v>
      </c>
      <c r="L4" s="22" t="str">
        <f t="shared" si="1"/>
        <v>Thu</v>
      </c>
      <c r="M4" s="22" t="str">
        <f t="shared" si="1"/>
        <v>Fri</v>
      </c>
      <c r="N4" s="20" t="str">
        <f t="shared" si="1"/>
        <v>Sat</v>
      </c>
      <c r="O4" s="20" t="str">
        <f t="shared" si="1"/>
        <v>Sun</v>
      </c>
      <c r="P4" s="22" t="str">
        <f t="shared" si="1"/>
        <v>Mon</v>
      </c>
      <c r="Q4" s="22" t="str">
        <f t="shared" si="1"/>
        <v>Tue</v>
      </c>
      <c r="R4" s="22" t="str">
        <f t="shared" si="1"/>
        <v>Wed</v>
      </c>
      <c r="S4" s="22" t="str">
        <f t="shared" si="1"/>
        <v>Thu</v>
      </c>
      <c r="T4" s="22" t="str">
        <f t="shared" si="1"/>
        <v>Fri</v>
      </c>
      <c r="U4" s="22" t="str">
        <f t="shared" si="1"/>
        <v>Sat</v>
      </c>
      <c r="V4" s="22" t="str">
        <f t="shared" si="1"/>
        <v>Sun</v>
      </c>
      <c r="W4" s="22" t="str">
        <f t="shared" si="1"/>
        <v>Mon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88</v>
      </c>
      <c r="E5" s="29">
        <f t="shared" ref="E5:E10" si="3">Y5*8</f>
        <v>88</v>
      </c>
      <c r="F5" s="29">
        <f t="shared" ref="F5:F10" si="4">G5+H5</f>
        <v>88</v>
      </c>
      <c r="G5" s="29">
        <f t="shared" ref="G5:G10" si="5">SUM(I5:W5)</f>
        <v>88</v>
      </c>
      <c r="H5" s="30">
        <v>0</v>
      </c>
      <c r="I5" s="32">
        <v>8</v>
      </c>
      <c r="J5" s="32">
        <v>8</v>
      </c>
      <c r="K5" s="32">
        <v>8</v>
      </c>
      <c r="L5" s="32">
        <v>8</v>
      </c>
      <c r="M5" s="32">
        <v>8</v>
      </c>
      <c r="N5" s="33"/>
      <c r="O5" s="33"/>
      <c r="P5" s="32">
        <v>8</v>
      </c>
      <c r="Q5" s="32">
        <v>8</v>
      </c>
      <c r="R5" s="32">
        <v>8</v>
      </c>
      <c r="S5" s="32">
        <v>8</v>
      </c>
      <c r="T5" s="32">
        <v>8</v>
      </c>
      <c r="U5" s="33"/>
      <c r="V5" s="33"/>
      <c r="W5" s="32">
        <v>8</v>
      </c>
      <c r="X5" s="29">
        <f t="shared" ref="X5:X15" si="6">Y5-COUNTA(I5:W5)</f>
        <v>0</v>
      </c>
      <c r="Y5" s="34">
        <v>11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88</v>
      </c>
      <c r="E6" s="29">
        <f t="shared" si="3"/>
        <v>88</v>
      </c>
      <c r="F6" s="29">
        <f t="shared" si="4"/>
        <v>88</v>
      </c>
      <c r="G6" s="29">
        <f t="shared" si="5"/>
        <v>88</v>
      </c>
      <c r="H6" s="30">
        <v>0</v>
      </c>
      <c r="I6" s="32">
        <v>8</v>
      </c>
      <c r="J6" s="32">
        <v>8</v>
      </c>
      <c r="K6" s="32">
        <v>8</v>
      </c>
      <c r="L6" s="32">
        <v>8</v>
      </c>
      <c r="M6" s="32">
        <v>8</v>
      </c>
      <c r="N6" s="33"/>
      <c r="O6" s="33"/>
      <c r="P6" s="32">
        <v>8</v>
      </c>
      <c r="Q6" s="32">
        <v>8</v>
      </c>
      <c r="R6" s="32">
        <v>8</v>
      </c>
      <c r="S6" s="32">
        <v>8</v>
      </c>
      <c r="T6" s="32">
        <v>8</v>
      </c>
      <c r="U6" s="33"/>
      <c r="V6" s="33"/>
      <c r="W6" s="32">
        <v>8</v>
      </c>
      <c r="X6" s="29">
        <f t="shared" si="6"/>
        <v>0</v>
      </c>
      <c r="Y6" s="34">
        <v>11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88</v>
      </c>
      <c r="E7" s="29">
        <f t="shared" si="3"/>
        <v>88</v>
      </c>
      <c r="F7" s="29">
        <f t="shared" si="4"/>
        <v>80</v>
      </c>
      <c r="G7" s="29">
        <f t="shared" si="5"/>
        <v>80</v>
      </c>
      <c r="H7" s="30">
        <v>0</v>
      </c>
      <c r="I7" s="38"/>
      <c r="J7" s="32">
        <v>8</v>
      </c>
      <c r="K7" s="32">
        <v>8</v>
      </c>
      <c r="L7" s="32">
        <v>8</v>
      </c>
      <c r="M7" s="32">
        <v>8</v>
      </c>
      <c r="N7" s="33"/>
      <c r="O7" s="33"/>
      <c r="P7" s="32">
        <v>8</v>
      </c>
      <c r="Q7" s="32">
        <v>8</v>
      </c>
      <c r="R7" s="32">
        <v>8</v>
      </c>
      <c r="S7" s="32">
        <v>8</v>
      </c>
      <c r="T7" s="32">
        <v>8</v>
      </c>
      <c r="U7" s="33"/>
      <c r="V7" s="33"/>
      <c r="W7" s="32">
        <v>8</v>
      </c>
      <c r="X7" s="29">
        <f t="shared" si="6"/>
        <v>1</v>
      </c>
      <c r="Y7" s="34">
        <v>11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88</v>
      </c>
      <c r="E8" s="29">
        <f t="shared" si="3"/>
        <v>88</v>
      </c>
      <c r="F8" s="29">
        <f t="shared" si="4"/>
        <v>88</v>
      </c>
      <c r="G8" s="29">
        <f t="shared" si="5"/>
        <v>88</v>
      </c>
      <c r="H8" s="30">
        <v>0</v>
      </c>
      <c r="I8" s="32">
        <v>8</v>
      </c>
      <c r="J8" s="32">
        <v>8</v>
      </c>
      <c r="K8" s="32">
        <v>8</v>
      </c>
      <c r="L8" s="32">
        <v>8</v>
      </c>
      <c r="M8" s="32">
        <v>8</v>
      </c>
      <c r="N8" s="33"/>
      <c r="O8" s="33"/>
      <c r="P8" s="32">
        <v>8</v>
      </c>
      <c r="Q8" s="32">
        <v>8</v>
      </c>
      <c r="R8" s="32">
        <v>8</v>
      </c>
      <c r="S8" s="32">
        <v>8</v>
      </c>
      <c r="T8" s="32">
        <v>8</v>
      </c>
      <c r="U8" s="33"/>
      <c r="V8" s="33"/>
      <c r="W8" s="32">
        <v>8</v>
      </c>
      <c r="X8" s="29">
        <f t="shared" si="6"/>
        <v>0</v>
      </c>
      <c r="Y8" s="34">
        <v>11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88</v>
      </c>
      <c r="E9" s="29">
        <f t="shared" si="3"/>
        <v>88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2">
        <v>8</v>
      </c>
      <c r="L9" s="32">
        <v>8</v>
      </c>
      <c r="M9" s="32">
        <v>8</v>
      </c>
      <c r="N9" s="33"/>
      <c r="O9" s="33"/>
      <c r="P9" s="32">
        <v>8</v>
      </c>
      <c r="Q9" s="32">
        <v>8</v>
      </c>
      <c r="R9" s="32">
        <v>8</v>
      </c>
      <c r="S9" s="32">
        <v>8</v>
      </c>
      <c r="T9" s="32">
        <v>8</v>
      </c>
      <c r="U9" s="33"/>
      <c r="V9" s="47"/>
      <c r="W9" s="97"/>
      <c r="X9" s="29">
        <f t="shared" si="6"/>
        <v>1</v>
      </c>
      <c r="Y9" s="34">
        <v>11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88</v>
      </c>
      <c r="E10" s="29">
        <f t="shared" si="3"/>
        <v>88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2">
        <v>8</v>
      </c>
      <c r="L10" s="32">
        <v>8</v>
      </c>
      <c r="M10" s="32">
        <v>8</v>
      </c>
      <c r="N10" s="33"/>
      <c r="O10" s="33"/>
      <c r="P10" s="32">
        <v>8</v>
      </c>
      <c r="Q10" s="32">
        <v>8</v>
      </c>
      <c r="R10" s="32">
        <v>8</v>
      </c>
      <c r="S10" s="32">
        <v>8</v>
      </c>
      <c r="T10" s="38"/>
      <c r="U10" s="33"/>
      <c r="V10" s="33"/>
      <c r="W10" s="32">
        <v>8</v>
      </c>
      <c r="X10" s="29">
        <f t="shared" si="6"/>
        <v>1</v>
      </c>
      <c r="Y10" s="34">
        <v>11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528</v>
      </c>
      <c r="E16" s="194">
        <f t="shared" si="8"/>
        <v>528</v>
      </c>
      <c r="F16" s="194">
        <f t="shared" si="8"/>
        <v>504</v>
      </c>
      <c r="G16" s="194">
        <f t="shared" si="8"/>
        <v>504</v>
      </c>
      <c r="H16" s="194">
        <f t="shared" si="8"/>
        <v>0</v>
      </c>
      <c r="I16" s="194">
        <f t="shared" si="8"/>
        <v>40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0</v>
      </c>
      <c r="O16" s="194">
        <f t="shared" si="8"/>
        <v>0</v>
      </c>
      <c r="P16" s="194">
        <f t="shared" si="8"/>
        <v>48</v>
      </c>
      <c r="Q16" s="194">
        <f t="shared" si="8"/>
        <v>48</v>
      </c>
      <c r="R16" s="194">
        <f t="shared" si="8"/>
        <v>48</v>
      </c>
      <c r="S16" s="194">
        <f t="shared" si="8"/>
        <v>48</v>
      </c>
      <c r="T16" s="194">
        <f t="shared" si="8"/>
        <v>40</v>
      </c>
      <c r="U16" s="194">
        <f t="shared" si="8"/>
        <v>0</v>
      </c>
      <c r="V16" s="194">
        <f t="shared" si="8"/>
        <v>0</v>
      </c>
      <c r="W16" s="194">
        <f t="shared" si="8"/>
        <v>40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45489</v>
      </c>
      <c r="J19" s="44">
        <f t="shared" ref="J19:X19" si="9">I19+1</f>
        <v>45490</v>
      </c>
      <c r="K19" s="44">
        <f t="shared" si="9"/>
        <v>45491</v>
      </c>
      <c r="L19" s="14">
        <f t="shared" si="9"/>
        <v>45492</v>
      </c>
      <c r="M19" s="44">
        <f t="shared" si="9"/>
        <v>45493</v>
      </c>
      <c r="N19" s="44">
        <f t="shared" si="9"/>
        <v>45494</v>
      </c>
      <c r="O19" s="44">
        <f t="shared" si="9"/>
        <v>45495</v>
      </c>
      <c r="P19" s="44">
        <f t="shared" si="9"/>
        <v>45496</v>
      </c>
      <c r="Q19" s="44">
        <f t="shared" si="9"/>
        <v>45497</v>
      </c>
      <c r="R19" s="44">
        <f t="shared" si="9"/>
        <v>45498</v>
      </c>
      <c r="S19" s="44">
        <f t="shared" si="9"/>
        <v>45499</v>
      </c>
      <c r="T19" s="44">
        <f t="shared" si="9"/>
        <v>45500</v>
      </c>
      <c r="U19" s="44">
        <f t="shared" si="9"/>
        <v>45501</v>
      </c>
      <c r="V19" s="44">
        <f t="shared" si="9"/>
        <v>45502</v>
      </c>
      <c r="W19" s="44">
        <f t="shared" si="9"/>
        <v>45503</v>
      </c>
      <c r="X19" s="44">
        <f t="shared" si="9"/>
        <v>45504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Tue</v>
      </c>
      <c r="J20" s="22" t="str">
        <f t="shared" si="10"/>
        <v>Wed</v>
      </c>
      <c r="K20" s="22" t="str">
        <f t="shared" si="10"/>
        <v>Thu</v>
      </c>
      <c r="L20" s="22" t="str">
        <f t="shared" si="10"/>
        <v>Fri</v>
      </c>
      <c r="M20" s="22" t="str">
        <f t="shared" si="10"/>
        <v>Sat</v>
      </c>
      <c r="N20" s="22" t="str">
        <f t="shared" si="10"/>
        <v>Sun</v>
      </c>
      <c r="O20" s="22" t="str">
        <f t="shared" si="10"/>
        <v>Mon</v>
      </c>
      <c r="P20" s="21" t="str">
        <f t="shared" si="10"/>
        <v>Tue</v>
      </c>
      <c r="Q20" s="21" t="str">
        <f t="shared" si="10"/>
        <v>Wed</v>
      </c>
      <c r="R20" s="22" t="str">
        <f t="shared" si="10"/>
        <v>Thu</v>
      </c>
      <c r="S20" s="22" t="str">
        <f t="shared" si="10"/>
        <v>Fri</v>
      </c>
      <c r="T20" s="22" t="str">
        <f t="shared" si="10"/>
        <v>Sat</v>
      </c>
      <c r="U20" s="22" t="str">
        <f t="shared" si="10"/>
        <v>Sun</v>
      </c>
      <c r="V20" s="22" t="str">
        <f t="shared" si="10"/>
        <v>Mon</v>
      </c>
      <c r="W20" s="22" t="str">
        <f t="shared" si="10"/>
        <v>Tue</v>
      </c>
      <c r="X20" s="22" t="str">
        <f t="shared" si="10"/>
        <v>Wed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96</v>
      </c>
      <c r="E21" s="29">
        <f t="shared" ref="E21:E26" si="12">Z21*8</f>
        <v>96</v>
      </c>
      <c r="F21" s="29">
        <f t="shared" ref="F21:F26" si="13">G21+H21</f>
        <v>96</v>
      </c>
      <c r="G21" s="29">
        <f t="shared" ref="G21:G26" si="14">SUM(I21:X21)</f>
        <v>96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3"/>
      <c r="N21" s="33"/>
      <c r="O21" s="32">
        <v>8</v>
      </c>
      <c r="P21" s="32">
        <v>8</v>
      </c>
      <c r="Q21" s="32">
        <v>8</v>
      </c>
      <c r="R21" s="32">
        <v>8</v>
      </c>
      <c r="S21" s="32">
        <v>8</v>
      </c>
      <c r="T21" s="33"/>
      <c r="U21" s="33"/>
      <c r="V21" s="46">
        <v>8</v>
      </c>
      <c r="W21" s="32">
        <v>8</v>
      </c>
      <c r="X21" s="96">
        <v>8</v>
      </c>
      <c r="Y21" s="29">
        <f t="shared" ref="Y21:Y26" si="15">Z21-COUNTA(I21:X21)</f>
        <v>0</v>
      </c>
      <c r="Z21" s="34">
        <v>12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96</v>
      </c>
      <c r="E22" s="29">
        <f t="shared" si="12"/>
        <v>96</v>
      </c>
      <c r="F22" s="29">
        <f t="shared" si="13"/>
        <v>96</v>
      </c>
      <c r="G22" s="29">
        <f t="shared" si="14"/>
        <v>96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3"/>
      <c r="N22" s="33"/>
      <c r="O22" s="32">
        <v>8</v>
      </c>
      <c r="P22" s="32">
        <v>8</v>
      </c>
      <c r="Q22" s="32">
        <v>8</v>
      </c>
      <c r="R22" s="32">
        <v>8</v>
      </c>
      <c r="S22" s="32">
        <v>8</v>
      </c>
      <c r="T22" s="33"/>
      <c r="U22" s="33"/>
      <c r="V22" s="46">
        <v>8</v>
      </c>
      <c r="W22" s="32">
        <v>8</v>
      </c>
      <c r="X22" s="96">
        <v>8</v>
      </c>
      <c r="Y22" s="29">
        <f t="shared" si="15"/>
        <v>0</v>
      </c>
      <c r="Z22" s="34">
        <v>12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96</v>
      </c>
      <c r="E23" s="29">
        <f t="shared" si="12"/>
        <v>96</v>
      </c>
      <c r="F23" s="29">
        <f t="shared" si="13"/>
        <v>96</v>
      </c>
      <c r="G23" s="29">
        <f t="shared" si="14"/>
        <v>96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3"/>
      <c r="N23" s="33"/>
      <c r="O23" s="32">
        <v>8</v>
      </c>
      <c r="P23" s="32">
        <v>8</v>
      </c>
      <c r="Q23" s="32">
        <v>8</v>
      </c>
      <c r="R23" s="48">
        <v>8</v>
      </c>
      <c r="S23" s="32">
        <v>8</v>
      </c>
      <c r="T23" s="33"/>
      <c r="U23" s="33"/>
      <c r="V23" s="46">
        <v>8</v>
      </c>
      <c r="W23" s="32">
        <v>8</v>
      </c>
      <c r="X23" s="96">
        <v>8</v>
      </c>
      <c r="Y23" s="29">
        <f t="shared" si="15"/>
        <v>0</v>
      </c>
      <c r="Z23" s="34">
        <v>12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96</v>
      </c>
      <c r="E24" s="29">
        <f t="shared" si="12"/>
        <v>96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3"/>
      <c r="N24" s="33"/>
      <c r="O24" s="38"/>
      <c r="P24" s="32">
        <v>8</v>
      </c>
      <c r="Q24" s="32">
        <v>8</v>
      </c>
      <c r="R24" s="32">
        <v>8</v>
      </c>
      <c r="S24" s="32">
        <v>8</v>
      </c>
      <c r="T24" s="33"/>
      <c r="U24" s="33"/>
      <c r="V24" s="46">
        <v>8</v>
      </c>
      <c r="W24" s="32">
        <v>8</v>
      </c>
      <c r="X24" s="96">
        <v>8</v>
      </c>
      <c r="Y24" s="29">
        <f t="shared" si="15"/>
        <v>1</v>
      </c>
      <c r="Z24" s="34">
        <v>12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96</v>
      </c>
      <c r="E25" s="29">
        <f t="shared" si="12"/>
        <v>96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8"/>
      <c r="K25" s="32">
        <v>8</v>
      </c>
      <c r="L25" s="32">
        <v>8</v>
      </c>
      <c r="M25" s="33"/>
      <c r="N25" s="33"/>
      <c r="O25" s="32">
        <v>8</v>
      </c>
      <c r="P25" s="32">
        <v>8</v>
      </c>
      <c r="Q25" s="32">
        <v>8</v>
      </c>
      <c r="R25" s="48">
        <v>8</v>
      </c>
      <c r="S25" s="32">
        <v>8</v>
      </c>
      <c r="T25" s="33"/>
      <c r="U25" s="33"/>
      <c r="V25" s="46">
        <v>8</v>
      </c>
      <c r="W25" s="32">
        <v>8</v>
      </c>
      <c r="X25" s="96">
        <v>8</v>
      </c>
      <c r="Y25" s="29">
        <f t="shared" si="15"/>
        <v>1</v>
      </c>
      <c r="Z25" s="34">
        <v>12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96</v>
      </c>
      <c r="E26" s="29">
        <f t="shared" si="12"/>
        <v>96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3"/>
      <c r="N26" s="33"/>
      <c r="O26" s="32">
        <v>8</v>
      </c>
      <c r="P26" s="32">
        <v>8</v>
      </c>
      <c r="Q26" s="32">
        <v>8</v>
      </c>
      <c r="R26" s="38"/>
      <c r="S26" s="32">
        <v>8</v>
      </c>
      <c r="T26" s="33"/>
      <c r="U26" s="33"/>
      <c r="V26" s="32">
        <v>8</v>
      </c>
      <c r="W26" s="32">
        <v>8</v>
      </c>
      <c r="X26" s="96">
        <v>8</v>
      </c>
      <c r="Y26" s="29">
        <f t="shared" si="15"/>
        <v>1</v>
      </c>
      <c r="Z26" s="34">
        <v>12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576</v>
      </c>
      <c r="E32" s="194">
        <f t="shared" si="16"/>
        <v>576</v>
      </c>
      <c r="F32" s="194">
        <f t="shared" si="16"/>
        <v>552</v>
      </c>
      <c r="G32" s="194">
        <f t="shared" si="16"/>
        <v>552</v>
      </c>
      <c r="H32" s="194">
        <f t="shared" si="16"/>
        <v>0</v>
      </c>
      <c r="I32" s="194">
        <f t="shared" si="16"/>
        <v>48</v>
      </c>
      <c r="J32" s="194">
        <f t="shared" si="16"/>
        <v>40</v>
      </c>
      <c r="K32" s="194">
        <f t="shared" si="16"/>
        <v>48</v>
      </c>
      <c r="L32" s="194">
        <f t="shared" si="16"/>
        <v>48</v>
      </c>
      <c r="M32" s="194">
        <f t="shared" si="16"/>
        <v>0</v>
      </c>
      <c r="N32" s="194">
        <f t="shared" si="16"/>
        <v>0</v>
      </c>
      <c r="O32" s="194">
        <f t="shared" si="16"/>
        <v>40</v>
      </c>
      <c r="P32" s="194">
        <f t="shared" si="16"/>
        <v>48</v>
      </c>
      <c r="Q32" s="194">
        <f t="shared" si="16"/>
        <v>48</v>
      </c>
      <c r="R32" s="194">
        <f t="shared" si="16"/>
        <v>40</v>
      </c>
      <c r="S32" s="194">
        <f t="shared" si="16"/>
        <v>48</v>
      </c>
      <c r="T32" s="194">
        <f t="shared" si="16"/>
        <v>0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184</v>
      </c>
      <c r="C36" s="60">
        <f t="shared" ref="C36:C41" si="18">E5+E21</f>
        <v>184</v>
      </c>
      <c r="D36" s="61">
        <f t="shared" ref="D36:D41" si="19">B36</f>
        <v>184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184</v>
      </c>
      <c r="C37" s="60">
        <f t="shared" si="18"/>
        <v>184</v>
      </c>
      <c r="D37" s="61">
        <f t="shared" si="19"/>
        <v>184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176</v>
      </c>
      <c r="C38" s="60">
        <f t="shared" si="18"/>
        <v>184</v>
      </c>
      <c r="D38" s="61">
        <f t="shared" si="19"/>
        <v>176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176</v>
      </c>
      <c r="C39" s="60">
        <f t="shared" si="18"/>
        <v>184</v>
      </c>
      <c r="D39" s="61">
        <f t="shared" si="19"/>
        <v>176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184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184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11</v>
      </c>
      <c r="C53" s="81">
        <f t="shared" si="26"/>
        <v>88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12</v>
      </c>
      <c r="C60" s="81">
        <f t="shared" si="28"/>
        <v>96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184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F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45505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45505</v>
      </c>
      <c r="J3" s="14">
        <f t="shared" ref="J3:W3" si="0">I3+1</f>
        <v>45506</v>
      </c>
      <c r="K3" s="14">
        <f t="shared" si="0"/>
        <v>45507</v>
      </c>
      <c r="L3" s="14">
        <f t="shared" si="0"/>
        <v>45508</v>
      </c>
      <c r="M3" s="14">
        <f t="shared" si="0"/>
        <v>45509</v>
      </c>
      <c r="N3" s="14">
        <f t="shared" si="0"/>
        <v>45510</v>
      </c>
      <c r="O3" s="14">
        <f t="shared" si="0"/>
        <v>45511</v>
      </c>
      <c r="P3" s="14">
        <f t="shared" si="0"/>
        <v>45512</v>
      </c>
      <c r="Q3" s="14">
        <f t="shared" si="0"/>
        <v>45513</v>
      </c>
      <c r="R3" s="14">
        <f t="shared" si="0"/>
        <v>45514</v>
      </c>
      <c r="S3" s="14">
        <f t="shared" si="0"/>
        <v>45515</v>
      </c>
      <c r="T3" s="14">
        <f t="shared" si="0"/>
        <v>45516</v>
      </c>
      <c r="U3" s="14">
        <f t="shared" si="0"/>
        <v>45517</v>
      </c>
      <c r="V3" s="14">
        <f t="shared" si="0"/>
        <v>45518</v>
      </c>
      <c r="W3" s="14">
        <f t="shared" si="0"/>
        <v>45519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Thu</v>
      </c>
      <c r="J4" s="21" t="str">
        <f t="shared" si="1"/>
        <v>Fri</v>
      </c>
      <c r="K4" s="21" t="str">
        <f t="shared" si="1"/>
        <v>Sat</v>
      </c>
      <c r="L4" s="22" t="str">
        <f t="shared" si="1"/>
        <v>Sun</v>
      </c>
      <c r="M4" s="22" t="str">
        <f t="shared" si="1"/>
        <v>Mon</v>
      </c>
      <c r="N4" s="20" t="str">
        <f t="shared" si="1"/>
        <v>Tue</v>
      </c>
      <c r="O4" s="20" t="str">
        <f t="shared" si="1"/>
        <v>Wed</v>
      </c>
      <c r="P4" s="22" t="str">
        <f t="shared" si="1"/>
        <v>Thu</v>
      </c>
      <c r="Q4" s="22" t="str">
        <f t="shared" si="1"/>
        <v>Fri</v>
      </c>
      <c r="R4" s="22" t="str">
        <f t="shared" si="1"/>
        <v>Sat</v>
      </c>
      <c r="S4" s="22" t="str">
        <f t="shared" si="1"/>
        <v>Sun</v>
      </c>
      <c r="T4" s="22" t="str">
        <f t="shared" si="1"/>
        <v>Mon</v>
      </c>
      <c r="U4" s="22" t="str">
        <f t="shared" si="1"/>
        <v>Tue</v>
      </c>
      <c r="V4" s="22" t="str">
        <f t="shared" si="1"/>
        <v>Wed</v>
      </c>
      <c r="W4" s="22" t="str">
        <f t="shared" si="1"/>
        <v>Thu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2">
        <v>8</v>
      </c>
      <c r="K5" s="33"/>
      <c r="L5" s="33"/>
      <c r="M5" s="32">
        <v>8</v>
      </c>
      <c r="N5" s="32">
        <v>8</v>
      </c>
      <c r="O5" s="32">
        <v>8</v>
      </c>
      <c r="P5" s="32">
        <v>8</v>
      </c>
      <c r="Q5" s="32">
        <v>8</v>
      </c>
      <c r="R5" s="33"/>
      <c r="S5" s="33"/>
      <c r="T5" s="32">
        <v>8</v>
      </c>
      <c r="U5" s="38"/>
      <c r="V5" s="32">
        <v>8</v>
      </c>
      <c r="W5" s="31"/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2">
        <v>8</v>
      </c>
      <c r="J6" s="32">
        <v>8</v>
      </c>
      <c r="K6" s="33"/>
      <c r="L6" s="33"/>
      <c r="M6" s="32">
        <v>8</v>
      </c>
      <c r="N6" s="32">
        <v>8</v>
      </c>
      <c r="O6" s="32">
        <v>8</v>
      </c>
      <c r="P6" s="32">
        <v>8</v>
      </c>
      <c r="Q6" s="32">
        <v>8</v>
      </c>
      <c r="R6" s="33"/>
      <c r="S6" s="33"/>
      <c r="T6" s="32">
        <v>8</v>
      </c>
      <c r="U6" s="32">
        <v>8</v>
      </c>
      <c r="V6" s="32">
        <v>8</v>
      </c>
      <c r="W6" s="31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64</v>
      </c>
      <c r="G7" s="29">
        <f t="shared" si="5"/>
        <v>64</v>
      </c>
      <c r="H7" s="30">
        <v>0</v>
      </c>
      <c r="I7" s="32">
        <v>8</v>
      </c>
      <c r="J7" s="32">
        <v>8</v>
      </c>
      <c r="K7" s="33"/>
      <c r="L7" s="33"/>
      <c r="M7" s="38"/>
      <c r="N7" s="38"/>
      <c r="O7" s="32">
        <v>8</v>
      </c>
      <c r="P7" s="32">
        <v>8</v>
      </c>
      <c r="Q7" s="32">
        <v>8</v>
      </c>
      <c r="R7" s="33"/>
      <c r="S7" s="33"/>
      <c r="T7" s="32">
        <v>8</v>
      </c>
      <c r="U7" s="32">
        <v>8</v>
      </c>
      <c r="V7" s="32">
        <v>8</v>
      </c>
      <c r="W7" s="31"/>
      <c r="X7" s="29">
        <f t="shared" si="6"/>
        <v>2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2">
        <v>8</v>
      </c>
      <c r="K8" s="33"/>
      <c r="L8" s="33"/>
      <c r="M8" s="32">
        <v>8</v>
      </c>
      <c r="N8" s="32">
        <v>8</v>
      </c>
      <c r="O8" s="32">
        <v>8</v>
      </c>
      <c r="P8" s="32">
        <v>8</v>
      </c>
      <c r="Q8" s="32">
        <v>8</v>
      </c>
      <c r="R8" s="33"/>
      <c r="S8" s="33"/>
      <c r="T8" s="32">
        <v>8</v>
      </c>
      <c r="U8" s="32">
        <v>8</v>
      </c>
      <c r="V8" s="32">
        <v>8</v>
      </c>
      <c r="W8" s="31"/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2">
        <v>8</v>
      </c>
      <c r="J9" s="32">
        <v>8</v>
      </c>
      <c r="K9" s="33"/>
      <c r="L9" s="33"/>
      <c r="M9" s="32">
        <v>8</v>
      </c>
      <c r="N9" s="32">
        <v>8</v>
      </c>
      <c r="O9" s="32">
        <v>8</v>
      </c>
      <c r="P9" s="32">
        <v>8</v>
      </c>
      <c r="Q9" s="32">
        <v>8</v>
      </c>
      <c r="R9" s="33"/>
      <c r="S9" s="33"/>
      <c r="T9" s="32">
        <v>8</v>
      </c>
      <c r="U9" s="32">
        <v>8</v>
      </c>
      <c r="V9" s="48">
        <v>8</v>
      </c>
      <c r="W9" s="92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2">
        <v>8</v>
      </c>
      <c r="K10" s="33"/>
      <c r="L10" s="33"/>
      <c r="M10" s="32">
        <v>8</v>
      </c>
      <c r="N10" s="32">
        <v>8</v>
      </c>
      <c r="O10" s="32">
        <v>8</v>
      </c>
      <c r="P10" s="32">
        <v>8</v>
      </c>
      <c r="Q10" s="32">
        <v>8</v>
      </c>
      <c r="R10" s="33"/>
      <c r="S10" s="33"/>
      <c r="T10" s="32">
        <v>8</v>
      </c>
      <c r="U10" s="32">
        <v>8</v>
      </c>
      <c r="V10" s="32">
        <v>8</v>
      </c>
      <c r="W10" s="31"/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456</v>
      </c>
      <c r="G16" s="194">
        <f t="shared" si="8"/>
        <v>456</v>
      </c>
      <c r="H16" s="194">
        <f t="shared" si="8"/>
        <v>0</v>
      </c>
      <c r="I16" s="194">
        <f t="shared" si="8"/>
        <v>48</v>
      </c>
      <c r="J16" s="194">
        <f t="shared" si="8"/>
        <v>48</v>
      </c>
      <c r="K16" s="194">
        <f t="shared" si="8"/>
        <v>0</v>
      </c>
      <c r="L16" s="194">
        <f t="shared" si="8"/>
        <v>0</v>
      </c>
      <c r="M16" s="194">
        <f t="shared" si="8"/>
        <v>40</v>
      </c>
      <c r="N16" s="194">
        <f t="shared" si="8"/>
        <v>40</v>
      </c>
      <c r="O16" s="194">
        <f t="shared" si="8"/>
        <v>48</v>
      </c>
      <c r="P16" s="194">
        <f t="shared" si="8"/>
        <v>48</v>
      </c>
      <c r="Q16" s="194">
        <f t="shared" si="8"/>
        <v>48</v>
      </c>
      <c r="R16" s="194">
        <f t="shared" si="8"/>
        <v>0</v>
      </c>
      <c r="S16" s="194">
        <f t="shared" si="8"/>
        <v>0</v>
      </c>
      <c r="T16" s="194">
        <f t="shared" si="8"/>
        <v>48</v>
      </c>
      <c r="U16" s="194">
        <f t="shared" si="8"/>
        <v>40</v>
      </c>
      <c r="V16" s="194">
        <f t="shared" si="8"/>
        <v>48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45520</v>
      </c>
      <c r="J19" s="44">
        <f t="shared" ref="J19:X19" si="9">I19+1</f>
        <v>45521</v>
      </c>
      <c r="K19" s="44">
        <f t="shared" si="9"/>
        <v>45522</v>
      </c>
      <c r="L19" s="14">
        <f t="shared" si="9"/>
        <v>45523</v>
      </c>
      <c r="M19" s="44">
        <f t="shared" si="9"/>
        <v>45524</v>
      </c>
      <c r="N19" s="44">
        <f t="shared" si="9"/>
        <v>45525</v>
      </c>
      <c r="O19" s="44">
        <f t="shared" si="9"/>
        <v>45526</v>
      </c>
      <c r="P19" s="44">
        <f t="shared" si="9"/>
        <v>45527</v>
      </c>
      <c r="Q19" s="44">
        <f t="shared" si="9"/>
        <v>45528</v>
      </c>
      <c r="R19" s="44">
        <f t="shared" si="9"/>
        <v>45529</v>
      </c>
      <c r="S19" s="44">
        <f t="shared" si="9"/>
        <v>45530</v>
      </c>
      <c r="T19" s="44">
        <f t="shared" si="9"/>
        <v>45531</v>
      </c>
      <c r="U19" s="44">
        <f t="shared" si="9"/>
        <v>45532</v>
      </c>
      <c r="V19" s="44">
        <f t="shared" si="9"/>
        <v>45533</v>
      </c>
      <c r="W19" s="44">
        <f t="shared" si="9"/>
        <v>45534</v>
      </c>
      <c r="X19" s="44">
        <f t="shared" si="9"/>
        <v>45535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Fri</v>
      </c>
      <c r="J20" s="22" t="str">
        <f t="shared" si="10"/>
        <v>Sat</v>
      </c>
      <c r="K20" s="22" t="str">
        <f t="shared" si="10"/>
        <v>Sun</v>
      </c>
      <c r="L20" s="22" t="str">
        <f t="shared" si="10"/>
        <v>Mon</v>
      </c>
      <c r="M20" s="22" t="str">
        <f t="shared" si="10"/>
        <v>Tue</v>
      </c>
      <c r="N20" s="22" t="str">
        <f t="shared" si="10"/>
        <v>Wed</v>
      </c>
      <c r="O20" s="22" t="str">
        <f t="shared" si="10"/>
        <v>Thu</v>
      </c>
      <c r="P20" s="21" t="str">
        <f t="shared" si="10"/>
        <v>Fri</v>
      </c>
      <c r="Q20" s="21" t="str">
        <f t="shared" si="10"/>
        <v>Sat</v>
      </c>
      <c r="R20" s="22" t="str">
        <f t="shared" si="10"/>
        <v>Sun</v>
      </c>
      <c r="S20" s="22" t="str">
        <f t="shared" si="10"/>
        <v>Mon</v>
      </c>
      <c r="T20" s="22" t="str">
        <f t="shared" si="10"/>
        <v>Tue</v>
      </c>
      <c r="U20" s="22" t="str">
        <f t="shared" si="10"/>
        <v>Wed</v>
      </c>
      <c r="V20" s="22" t="str">
        <f t="shared" si="10"/>
        <v>Thu</v>
      </c>
      <c r="W20" s="22" t="str">
        <f t="shared" si="10"/>
        <v>Fri</v>
      </c>
      <c r="X20" s="22" t="str">
        <f t="shared" si="10"/>
        <v>Sat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3"/>
      <c r="K21" s="33"/>
      <c r="L21" s="32">
        <v>8</v>
      </c>
      <c r="M21" s="32">
        <v>8</v>
      </c>
      <c r="N21" s="32">
        <v>8</v>
      </c>
      <c r="O21" s="32">
        <v>8</v>
      </c>
      <c r="P21" s="32">
        <v>8</v>
      </c>
      <c r="Q21" s="33"/>
      <c r="R21" s="33"/>
      <c r="S21" s="32">
        <v>8</v>
      </c>
      <c r="T21" s="32">
        <v>8</v>
      </c>
      <c r="U21" s="32">
        <v>8</v>
      </c>
      <c r="V21" s="46">
        <v>8</v>
      </c>
      <c r="W21" s="32">
        <v>8</v>
      </c>
      <c r="X21" s="33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80</v>
      </c>
      <c r="G22" s="29">
        <f t="shared" si="14"/>
        <v>80</v>
      </c>
      <c r="H22" s="30">
        <v>0</v>
      </c>
      <c r="I22" s="38"/>
      <c r="J22" s="33"/>
      <c r="K22" s="33"/>
      <c r="L22" s="32">
        <v>8</v>
      </c>
      <c r="M22" s="32">
        <v>8</v>
      </c>
      <c r="N22" s="32">
        <v>8</v>
      </c>
      <c r="O22" s="32">
        <v>8</v>
      </c>
      <c r="P22" s="32">
        <v>8</v>
      </c>
      <c r="Q22" s="33"/>
      <c r="R22" s="33"/>
      <c r="S22" s="32">
        <v>8</v>
      </c>
      <c r="T22" s="32">
        <v>8</v>
      </c>
      <c r="U22" s="32">
        <v>8</v>
      </c>
      <c r="V22" s="46">
        <v>8</v>
      </c>
      <c r="W22" s="32">
        <v>8</v>
      </c>
      <c r="X22" s="33"/>
      <c r="Y22" s="29">
        <f t="shared" si="15"/>
        <v>1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3"/>
      <c r="K23" s="33"/>
      <c r="L23" s="32">
        <v>8</v>
      </c>
      <c r="M23" s="32">
        <v>8</v>
      </c>
      <c r="N23" s="32">
        <v>8</v>
      </c>
      <c r="O23" s="32">
        <v>8</v>
      </c>
      <c r="P23" s="32">
        <v>8</v>
      </c>
      <c r="Q23" s="33"/>
      <c r="R23" s="47"/>
      <c r="S23" s="32">
        <v>8</v>
      </c>
      <c r="T23" s="32">
        <v>8</v>
      </c>
      <c r="U23" s="32">
        <v>8</v>
      </c>
      <c r="V23" s="46">
        <v>8</v>
      </c>
      <c r="W23" s="32">
        <v>8</v>
      </c>
      <c r="X23" s="33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3"/>
      <c r="K24" s="33"/>
      <c r="L24" s="32">
        <v>8</v>
      </c>
      <c r="M24" s="32">
        <v>8</v>
      </c>
      <c r="N24" s="32">
        <v>8</v>
      </c>
      <c r="O24" s="32">
        <v>8</v>
      </c>
      <c r="P24" s="32">
        <v>8</v>
      </c>
      <c r="Q24" s="33"/>
      <c r="R24" s="33"/>
      <c r="S24" s="32">
        <v>8</v>
      </c>
      <c r="T24" s="32">
        <v>8</v>
      </c>
      <c r="U24" s="32">
        <v>8</v>
      </c>
      <c r="V24" s="46">
        <v>8</v>
      </c>
      <c r="W24" s="32">
        <v>8</v>
      </c>
      <c r="X24" s="33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3"/>
      <c r="K25" s="33"/>
      <c r="L25" s="32">
        <v>8</v>
      </c>
      <c r="M25" s="32">
        <v>8</v>
      </c>
      <c r="N25" s="32">
        <v>8</v>
      </c>
      <c r="O25" s="32">
        <v>8</v>
      </c>
      <c r="P25" s="32">
        <v>8</v>
      </c>
      <c r="Q25" s="33"/>
      <c r="R25" s="47"/>
      <c r="S25" s="32">
        <v>8</v>
      </c>
      <c r="T25" s="32">
        <v>8</v>
      </c>
      <c r="U25" s="32">
        <v>8</v>
      </c>
      <c r="V25" s="46">
        <v>8</v>
      </c>
      <c r="W25" s="32">
        <v>8</v>
      </c>
      <c r="X25" s="33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80</v>
      </c>
      <c r="G26" s="29">
        <f t="shared" si="14"/>
        <v>80</v>
      </c>
      <c r="H26" s="30">
        <v>0</v>
      </c>
      <c r="I26" s="38"/>
      <c r="J26" s="33"/>
      <c r="K26" s="33"/>
      <c r="L26" s="32">
        <v>8</v>
      </c>
      <c r="M26" s="32">
        <v>8</v>
      </c>
      <c r="N26" s="32">
        <v>8</v>
      </c>
      <c r="O26" s="32">
        <v>8</v>
      </c>
      <c r="P26" s="32">
        <v>8</v>
      </c>
      <c r="Q26" s="33"/>
      <c r="R26" s="33"/>
      <c r="S26" s="32">
        <v>8</v>
      </c>
      <c r="T26" s="32">
        <v>8</v>
      </c>
      <c r="U26" s="32">
        <v>8</v>
      </c>
      <c r="V26" s="32">
        <v>8</v>
      </c>
      <c r="W26" s="32">
        <v>8</v>
      </c>
      <c r="X26" s="33"/>
      <c r="Y26" s="29">
        <f t="shared" si="15"/>
        <v>1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512</v>
      </c>
      <c r="G32" s="194">
        <f t="shared" si="16"/>
        <v>512</v>
      </c>
      <c r="H32" s="194">
        <f t="shared" si="16"/>
        <v>0</v>
      </c>
      <c r="I32" s="194">
        <f t="shared" si="16"/>
        <v>32</v>
      </c>
      <c r="J32" s="194">
        <f t="shared" si="16"/>
        <v>0</v>
      </c>
      <c r="K32" s="194">
        <f t="shared" si="16"/>
        <v>0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48</v>
      </c>
      <c r="Q32" s="194">
        <f t="shared" si="16"/>
        <v>0</v>
      </c>
      <c r="R32" s="194">
        <f t="shared" si="16"/>
        <v>0</v>
      </c>
      <c r="S32" s="194">
        <f t="shared" si="16"/>
        <v>48</v>
      </c>
      <c r="T32" s="194">
        <f t="shared" si="16"/>
        <v>48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168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168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6A5A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45536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45536</v>
      </c>
      <c r="J3" s="14">
        <f t="shared" ref="J3:W3" si="0">I3+1</f>
        <v>45537</v>
      </c>
      <c r="K3" s="14">
        <f t="shared" si="0"/>
        <v>45538</v>
      </c>
      <c r="L3" s="14">
        <f t="shared" si="0"/>
        <v>45539</v>
      </c>
      <c r="M3" s="14">
        <f t="shared" si="0"/>
        <v>45540</v>
      </c>
      <c r="N3" s="14">
        <f t="shared" si="0"/>
        <v>45541</v>
      </c>
      <c r="O3" s="14">
        <f t="shared" si="0"/>
        <v>45542</v>
      </c>
      <c r="P3" s="14">
        <f t="shared" si="0"/>
        <v>45543</v>
      </c>
      <c r="Q3" s="14">
        <f t="shared" si="0"/>
        <v>45544</v>
      </c>
      <c r="R3" s="14">
        <f t="shared" si="0"/>
        <v>45545</v>
      </c>
      <c r="S3" s="14">
        <f t="shared" si="0"/>
        <v>45546</v>
      </c>
      <c r="T3" s="14">
        <f t="shared" si="0"/>
        <v>45547</v>
      </c>
      <c r="U3" s="14">
        <f t="shared" si="0"/>
        <v>45548</v>
      </c>
      <c r="V3" s="14">
        <f t="shared" si="0"/>
        <v>45549</v>
      </c>
      <c r="W3" s="14">
        <f t="shared" si="0"/>
        <v>45550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3"/>
      <c r="J6" s="32">
        <v>8</v>
      </c>
      <c r="K6" s="32">
        <v>8</v>
      </c>
      <c r="L6" s="32">
        <v>8</v>
      </c>
      <c r="M6" s="32">
        <v>8</v>
      </c>
      <c r="N6" s="32">
        <v>8</v>
      </c>
      <c r="O6" s="33"/>
      <c r="P6" s="33"/>
      <c r="Q6" s="32">
        <v>8</v>
      </c>
      <c r="R6" s="32">
        <v>8</v>
      </c>
      <c r="S6" s="32">
        <v>8</v>
      </c>
      <c r="T6" s="32">
        <v>8</v>
      </c>
      <c r="U6" s="32">
        <v>8</v>
      </c>
      <c r="V6" s="33"/>
      <c r="W6" s="33"/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3"/>
      <c r="J7" s="32">
        <v>8</v>
      </c>
      <c r="K7" s="32">
        <v>8</v>
      </c>
      <c r="L7" s="32">
        <v>8</v>
      </c>
      <c r="M7" s="32">
        <v>8</v>
      </c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72</v>
      </c>
      <c r="G8" s="29">
        <f t="shared" si="5"/>
        <v>72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8"/>
      <c r="S8" s="32">
        <v>8</v>
      </c>
      <c r="T8" s="32">
        <v>8</v>
      </c>
      <c r="U8" s="32">
        <v>8</v>
      </c>
      <c r="V8" s="33"/>
      <c r="W8" s="33"/>
      <c r="X8" s="29">
        <f t="shared" si="6"/>
        <v>1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47"/>
      <c r="W9" s="47"/>
      <c r="X9" s="29">
        <f t="shared" si="6"/>
        <v>0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8"/>
      <c r="R10" s="32">
        <v>8</v>
      </c>
      <c r="S10" s="32">
        <v>8</v>
      </c>
      <c r="T10" s="32">
        <v>8</v>
      </c>
      <c r="U10" s="32">
        <v>8</v>
      </c>
      <c r="V10" s="33"/>
      <c r="W10" s="33"/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48</v>
      </c>
      <c r="K16" s="194">
        <f t="shared" si="8"/>
        <v>48</v>
      </c>
      <c r="L16" s="194">
        <f t="shared" si="8"/>
        <v>48</v>
      </c>
      <c r="M16" s="194">
        <f t="shared" si="8"/>
        <v>48</v>
      </c>
      <c r="N16" s="194">
        <f t="shared" si="8"/>
        <v>48</v>
      </c>
      <c r="O16" s="194">
        <f t="shared" si="8"/>
        <v>0</v>
      </c>
      <c r="P16" s="194">
        <f t="shared" si="8"/>
        <v>0</v>
      </c>
      <c r="Q16" s="194">
        <f t="shared" si="8"/>
        <v>40</v>
      </c>
      <c r="R16" s="194">
        <f t="shared" si="8"/>
        <v>40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0</v>
      </c>
      <c r="W16" s="194">
        <f t="shared" si="8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45551</v>
      </c>
      <c r="J19" s="44">
        <f t="shared" ref="J19:W19" si="9">I19+1</f>
        <v>45552</v>
      </c>
      <c r="K19" s="44">
        <f t="shared" si="9"/>
        <v>45553</v>
      </c>
      <c r="L19" s="14">
        <f t="shared" si="9"/>
        <v>45554</v>
      </c>
      <c r="M19" s="44">
        <f t="shared" si="9"/>
        <v>45555</v>
      </c>
      <c r="N19" s="44">
        <f t="shared" si="9"/>
        <v>45556</v>
      </c>
      <c r="O19" s="44">
        <f t="shared" si="9"/>
        <v>45557</v>
      </c>
      <c r="P19" s="44">
        <f t="shared" si="9"/>
        <v>45558</v>
      </c>
      <c r="Q19" s="44">
        <f t="shared" si="9"/>
        <v>45559</v>
      </c>
      <c r="R19" s="44">
        <f t="shared" si="9"/>
        <v>45560</v>
      </c>
      <c r="S19" s="44">
        <f t="shared" si="9"/>
        <v>45561</v>
      </c>
      <c r="T19" s="44">
        <f t="shared" si="9"/>
        <v>45562</v>
      </c>
      <c r="U19" s="44">
        <f t="shared" si="9"/>
        <v>45563</v>
      </c>
      <c r="V19" s="44">
        <f t="shared" si="9"/>
        <v>45564</v>
      </c>
      <c r="W19" s="44">
        <f t="shared" si="9"/>
        <v>45565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Mon</v>
      </c>
      <c r="J20" s="22" t="str">
        <f t="shared" si="10"/>
        <v>Tue</v>
      </c>
      <c r="K20" s="22" t="str">
        <f t="shared" si="10"/>
        <v>Wed</v>
      </c>
      <c r="L20" s="22" t="str">
        <f t="shared" si="10"/>
        <v>Thu</v>
      </c>
      <c r="M20" s="22" t="str">
        <f t="shared" si="10"/>
        <v>Fri</v>
      </c>
      <c r="N20" s="22" t="str">
        <f t="shared" si="10"/>
        <v>Sat</v>
      </c>
      <c r="O20" s="22" t="str">
        <f t="shared" si="10"/>
        <v>Sun</v>
      </c>
      <c r="P20" s="21" t="str">
        <f t="shared" si="10"/>
        <v>Mon</v>
      </c>
      <c r="Q20" s="21" t="str">
        <f t="shared" si="10"/>
        <v>Tue</v>
      </c>
      <c r="R20" s="22" t="str">
        <f t="shared" si="10"/>
        <v>Wed</v>
      </c>
      <c r="S20" s="22" t="str">
        <f t="shared" si="10"/>
        <v>Thu</v>
      </c>
      <c r="T20" s="22" t="str">
        <f t="shared" si="10"/>
        <v>Fri</v>
      </c>
      <c r="U20" s="22" t="str">
        <f t="shared" si="10"/>
        <v>Sat</v>
      </c>
      <c r="V20" s="22" t="str">
        <f t="shared" si="10"/>
        <v>Sun</v>
      </c>
      <c r="W20" s="22" t="str">
        <f t="shared" si="10"/>
        <v>Mon</v>
      </c>
      <c r="X20" s="46" t="str">
        <f t="shared" si="10"/>
        <v/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2">
        <v>8</v>
      </c>
      <c r="M21" s="32">
        <v>8</v>
      </c>
      <c r="N21" s="33"/>
      <c r="O21" s="33"/>
      <c r="P21" s="32">
        <v>8</v>
      </c>
      <c r="Q21" s="32">
        <v>8</v>
      </c>
      <c r="R21" s="32">
        <v>8</v>
      </c>
      <c r="S21" s="32">
        <v>8</v>
      </c>
      <c r="T21" s="32">
        <v>8</v>
      </c>
      <c r="U21" s="33"/>
      <c r="V21" s="100"/>
      <c r="W21" s="32">
        <v>8</v>
      </c>
      <c r="X21" s="32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2">
        <v>8</v>
      </c>
      <c r="M22" s="32">
        <v>8</v>
      </c>
      <c r="N22" s="33"/>
      <c r="O22" s="33"/>
      <c r="P22" s="32">
        <v>8</v>
      </c>
      <c r="Q22" s="32">
        <v>8</v>
      </c>
      <c r="R22" s="32">
        <v>8</v>
      </c>
      <c r="S22" s="32">
        <v>8</v>
      </c>
      <c r="T22" s="32">
        <v>8</v>
      </c>
      <c r="U22" s="33"/>
      <c r="V22" s="100"/>
      <c r="W22" s="32">
        <v>8</v>
      </c>
      <c r="X22" s="32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88</v>
      </c>
      <c r="G23" s="29">
        <f t="shared" si="14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48">
        <v>8</v>
      </c>
      <c r="S23" s="32">
        <v>8</v>
      </c>
      <c r="T23" s="32">
        <v>8</v>
      </c>
      <c r="U23" s="33"/>
      <c r="V23" s="100"/>
      <c r="W23" s="96">
        <v>8</v>
      </c>
      <c r="X23" s="32"/>
      <c r="Y23" s="29">
        <f t="shared" si="15"/>
        <v>0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2">
        <v>8</v>
      </c>
      <c r="S24" s="32">
        <v>8</v>
      </c>
      <c r="T24" s="32">
        <v>8</v>
      </c>
      <c r="U24" s="33"/>
      <c r="V24" s="100"/>
      <c r="W24" s="32">
        <v>8</v>
      </c>
      <c r="X24" s="32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48">
        <v>8</v>
      </c>
      <c r="S25" s="32">
        <v>8</v>
      </c>
      <c r="T25" s="32">
        <v>8</v>
      </c>
      <c r="U25" s="33"/>
      <c r="V25" s="100"/>
      <c r="W25" s="32">
        <v>8</v>
      </c>
      <c r="X25" s="32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2">
        <v>8</v>
      </c>
      <c r="S26" s="32">
        <v>8</v>
      </c>
      <c r="T26" s="32">
        <v>8</v>
      </c>
      <c r="U26" s="33"/>
      <c r="V26" s="33"/>
      <c r="W26" s="32">
        <v>8</v>
      </c>
      <c r="X26" s="32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528</v>
      </c>
      <c r="G32" s="194">
        <f t="shared" si="16"/>
        <v>528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0</v>
      </c>
      <c r="O32" s="194">
        <f t="shared" si="16"/>
        <v>0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48</v>
      </c>
      <c r="T32" s="194">
        <f t="shared" si="16"/>
        <v>48</v>
      </c>
      <c r="U32" s="194">
        <f t="shared" si="16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168</v>
      </c>
      <c r="C36" s="60">
        <f t="shared" ref="C36:C41" si="18">E5+E21</f>
        <v>168</v>
      </c>
      <c r="D36" s="61">
        <f t="shared" ref="D36:D41" si="19">B36</f>
        <v>168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168</v>
      </c>
      <c r="C37" s="60">
        <f t="shared" si="18"/>
        <v>168</v>
      </c>
      <c r="D37" s="61">
        <f t="shared" si="19"/>
        <v>168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168</v>
      </c>
      <c r="C38" s="60">
        <f t="shared" si="18"/>
        <v>168</v>
      </c>
      <c r="D38" s="61">
        <f t="shared" si="19"/>
        <v>168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160</v>
      </c>
      <c r="C39" s="60">
        <f t="shared" si="18"/>
        <v>168</v>
      </c>
      <c r="D39" s="61">
        <f t="shared" si="19"/>
        <v>160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168</v>
      </c>
      <c r="C40" s="60">
        <f t="shared" si="18"/>
        <v>168</v>
      </c>
      <c r="D40" s="61">
        <f t="shared" si="19"/>
        <v>168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160</v>
      </c>
      <c r="C41" s="67">
        <f t="shared" si="18"/>
        <v>168</v>
      </c>
      <c r="D41" s="68">
        <f t="shared" si="19"/>
        <v>160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10</v>
      </c>
      <c r="C51" s="76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11</v>
      </c>
      <c r="C58" s="79">
        <f t="shared" ref="C58:C59" si="27">B58*8</f>
        <v>88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6B26B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45566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45566</v>
      </c>
      <c r="J3" s="14">
        <f t="shared" ref="J3:W3" si="0">I3+1</f>
        <v>45567</v>
      </c>
      <c r="K3" s="14">
        <f t="shared" si="0"/>
        <v>45568</v>
      </c>
      <c r="L3" s="14">
        <f t="shared" si="0"/>
        <v>45569</v>
      </c>
      <c r="M3" s="14">
        <f t="shared" si="0"/>
        <v>45570</v>
      </c>
      <c r="N3" s="14">
        <f t="shared" si="0"/>
        <v>45571</v>
      </c>
      <c r="O3" s="14">
        <f t="shared" si="0"/>
        <v>45572</v>
      </c>
      <c r="P3" s="14">
        <f t="shared" si="0"/>
        <v>45573</v>
      </c>
      <c r="Q3" s="14">
        <f t="shared" si="0"/>
        <v>45574</v>
      </c>
      <c r="R3" s="14">
        <f t="shared" si="0"/>
        <v>45575</v>
      </c>
      <c r="S3" s="14">
        <f t="shared" si="0"/>
        <v>45576</v>
      </c>
      <c r="T3" s="14">
        <f t="shared" si="0"/>
        <v>45577</v>
      </c>
      <c r="U3" s="14">
        <f t="shared" si="0"/>
        <v>45578</v>
      </c>
      <c r="V3" s="14">
        <f t="shared" si="0"/>
        <v>45579</v>
      </c>
      <c r="W3" s="14">
        <f t="shared" si="0"/>
        <v>45580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Tue</v>
      </c>
      <c r="J4" s="21" t="str">
        <f t="shared" si="1"/>
        <v>Wed</v>
      </c>
      <c r="K4" s="21" t="str">
        <f t="shared" si="1"/>
        <v>Thu</v>
      </c>
      <c r="L4" s="22" t="str">
        <f t="shared" si="1"/>
        <v>Fri</v>
      </c>
      <c r="M4" s="22" t="str">
        <f t="shared" si="1"/>
        <v>Sat</v>
      </c>
      <c r="N4" s="20" t="str">
        <f t="shared" si="1"/>
        <v>Sun</v>
      </c>
      <c r="O4" s="20" t="str">
        <f t="shared" si="1"/>
        <v>Mon</v>
      </c>
      <c r="P4" s="22" t="str">
        <f t="shared" si="1"/>
        <v>Tue</v>
      </c>
      <c r="Q4" s="22" t="str">
        <f t="shared" si="1"/>
        <v>Wed</v>
      </c>
      <c r="R4" s="22" t="str">
        <f t="shared" si="1"/>
        <v>Thu</v>
      </c>
      <c r="S4" s="22" t="str">
        <f t="shared" si="1"/>
        <v>Fri</v>
      </c>
      <c r="T4" s="22" t="str">
        <f t="shared" si="1"/>
        <v>Sat</v>
      </c>
      <c r="U4" s="22" t="str">
        <f t="shared" si="1"/>
        <v>Sun</v>
      </c>
      <c r="V4" s="22" t="str">
        <f t="shared" si="1"/>
        <v>Mon</v>
      </c>
      <c r="W4" s="22" t="str">
        <f t="shared" si="1"/>
        <v>Tue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72</v>
      </c>
      <c r="G5" s="29">
        <f t="shared" ref="G5:G10" si="5">SUM(I5:W5)</f>
        <v>72</v>
      </c>
      <c r="H5" s="30">
        <v>0</v>
      </c>
      <c r="I5" s="32">
        <v>8</v>
      </c>
      <c r="J5" s="31"/>
      <c r="K5" s="38"/>
      <c r="L5" s="32">
        <v>8</v>
      </c>
      <c r="M5" s="33"/>
      <c r="N5" s="33"/>
      <c r="O5" s="32">
        <v>8</v>
      </c>
      <c r="P5" s="32">
        <v>8</v>
      </c>
      <c r="Q5" s="32">
        <v>8</v>
      </c>
      <c r="R5" s="32">
        <v>8</v>
      </c>
      <c r="S5" s="32">
        <v>8</v>
      </c>
      <c r="T5" s="33"/>
      <c r="U5" s="33"/>
      <c r="V5" s="32">
        <v>8</v>
      </c>
      <c r="W5" s="32">
        <v>8</v>
      </c>
      <c r="X5" s="29">
        <f t="shared" ref="X5:X15" si="6">Y5-COUNTA(I5:W5)</f>
        <v>1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64</v>
      </c>
      <c r="G6" s="29">
        <f t="shared" si="5"/>
        <v>64</v>
      </c>
      <c r="H6" s="30">
        <v>0</v>
      </c>
      <c r="I6" s="32">
        <v>8</v>
      </c>
      <c r="J6" s="31"/>
      <c r="K6" s="38"/>
      <c r="L6" s="38"/>
      <c r="M6" s="33"/>
      <c r="N6" s="33"/>
      <c r="O6" s="32">
        <v>8</v>
      </c>
      <c r="P6" s="32">
        <v>8</v>
      </c>
      <c r="Q6" s="32">
        <v>8</v>
      </c>
      <c r="R6" s="32">
        <v>8</v>
      </c>
      <c r="S6" s="32">
        <v>8</v>
      </c>
      <c r="T6" s="33"/>
      <c r="U6" s="33"/>
      <c r="V6" s="32">
        <v>8</v>
      </c>
      <c r="W6" s="32">
        <v>8</v>
      </c>
      <c r="X6" s="29">
        <f t="shared" si="6"/>
        <v>2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2">
        <v>8</v>
      </c>
      <c r="J7" s="31"/>
      <c r="K7" s="32">
        <v>8</v>
      </c>
      <c r="L7" s="32">
        <v>8</v>
      </c>
      <c r="M7" s="33"/>
      <c r="N7" s="33"/>
      <c r="O7" s="32">
        <v>8</v>
      </c>
      <c r="P7" s="32">
        <v>8</v>
      </c>
      <c r="Q7" s="32">
        <v>8</v>
      </c>
      <c r="R7" s="32">
        <v>8</v>
      </c>
      <c r="S7" s="32">
        <v>8</v>
      </c>
      <c r="T7" s="33"/>
      <c r="U7" s="33"/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2">
        <v>8</v>
      </c>
      <c r="J8" s="31"/>
      <c r="K8" s="32">
        <v>8</v>
      </c>
      <c r="L8" s="32">
        <v>8</v>
      </c>
      <c r="M8" s="33"/>
      <c r="N8" s="33"/>
      <c r="O8" s="32">
        <v>8</v>
      </c>
      <c r="P8" s="32">
        <v>8</v>
      </c>
      <c r="Q8" s="32">
        <v>8</v>
      </c>
      <c r="R8" s="32">
        <v>8</v>
      </c>
      <c r="S8" s="32">
        <v>8</v>
      </c>
      <c r="T8" s="33"/>
      <c r="U8" s="33"/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2">
        <v>8</v>
      </c>
      <c r="J9" s="31"/>
      <c r="K9" s="32">
        <v>8</v>
      </c>
      <c r="L9" s="32">
        <v>8</v>
      </c>
      <c r="M9" s="33"/>
      <c r="N9" s="33"/>
      <c r="O9" s="32">
        <v>8</v>
      </c>
      <c r="P9" s="32">
        <v>8</v>
      </c>
      <c r="Q9" s="38"/>
      <c r="R9" s="32">
        <v>8</v>
      </c>
      <c r="S9" s="32">
        <v>8</v>
      </c>
      <c r="T9" s="33"/>
      <c r="U9" s="33"/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2">
        <v>8</v>
      </c>
      <c r="J10" s="31"/>
      <c r="K10" s="32">
        <v>8</v>
      </c>
      <c r="L10" s="32">
        <v>8</v>
      </c>
      <c r="M10" s="33"/>
      <c r="N10" s="33"/>
      <c r="O10" s="32">
        <v>8</v>
      </c>
      <c r="P10" s="32">
        <v>8</v>
      </c>
      <c r="Q10" s="32">
        <v>8</v>
      </c>
      <c r="R10" s="32">
        <v>8</v>
      </c>
      <c r="S10" s="32">
        <v>8</v>
      </c>
      <c r="T10" s="33"/>
      <c r="U10" s="33"/>
      <c r="V10" s="32">
        <v>8</v>
      </c>
      <c r="W10" s="32">
        <v>8</v>
      </c>
      <c r="X10" s="29">
        <f t="shared" si="6"/>
        <v>0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448</v>
      </c>
      <c r="G16" s="194">
        <f t="shared" si="8"/>
        <v>448</v>
      </c>
      <c r="H16" s="194">
        <f t="shared" si="8"/>
        <v>0</v>
      </c>
      <c r="I16" s="194">
        <f t="shared" si="8"/>
        <v>48</v>
      </c>
      <c r="J16" s="194">
        <f t="shared" si="8"/>
        <v>0</v>
      </c>
      <c r="K16" s="194">
        <f t="shared" si="8"/>
        <v>32</v>
      </c>
      <c r="L16" s="194">
        <f t="shared" si="8"/>
        <v>40</v>
      </c>
      <c r="M16" s="194">
        <f t="shared" si="8"/>
        <v>0</v>
      </c>
      <c r="N16" s="194">
        <f t="shared" si="8"/>
        <v>0</v>
      </c>
      <c r="O16" s="194">
        <f t="shared" si="8"/>
        <v>48</v>
      </c>
      <c r="P16" s="194">
        <f t="shared" si="8"/>
        <v>48</v>
      </c>
      <c r="Q16" s="194">
        <f t="shared" si="8"/>
        <v>40</v>
      </c>
      <c r="R16" s="194">
        <f t="shared" si="8"/>
        <v>48</v>
      </c>
      <c r="S16" s="194">
        <f t="shared" si="8"/>
        <v>48</v>
      </c>
      <c r="T16" s="194">
        <f t="shared" si="8"/>
        <v>0</v>
      </c>
      <c r="U16" s="194">
        <f t="shared" si="8"/>
        <v>0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45581</v>
      </c>
      <c r="J19" s="44">
        <f t="shared" ref="J19:X19" si="9">I19+1</f>
        <v>45582</v>
      </c>
      <c r="K19" s="44">
        <f t="shared" si="9"/>
        <v>45583</v>
      </c>
      <c r="L19" s="14">
        <f t="shared" si="9"/>
        <v>45584</v>
      </c>
      <c r="M19" s="44">
        <f t="shared" si="9"/>
        <v>45585</v>
      </c>
      <c r="N19" s="44">
        <f t="shared" si="9"/>
        <v>45586</v>
      </c>
      <c r="O19" s="44">
        <f t="shared" si="9"/>
        <v>45587</v>
      </c>
      <c r="P19" s="44">
        <f t="shared" si="9"/>
        <v>45588</v>
      </c>
      <c r="Q19" s="44">
        <f t="shared" si="9"/>
        <v>45589</v>
      </c>
      <c r="R19" s="44">
        <f t="shared" si="9"/>
        <v>45590</v>
      </c>
      <c r="S19" s="44">
        <f t="shared" si="9"/>
        <v>45591</v>
      </c>
      <c r="T19" s="44">
        <f t="shared" si="9"/>
        <v>45592</v>
      </c>
      <c r="U19" s="44">
        <f t="shared" si="9"/>
        <v>45593</v>
      </c>
      <c r="V19" s="44">
        <f t="shared" si="9"/>
        <v>45594</v>
      </c>
      <c r="W19" s="44">
        <f t="shared" si="9"/>
        <v>45595</v>
      </c>
      <c r="X19" s="44">
        <f t="shared" si="9"/>
        <v>45596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0">IF(I19="","",TEXT(WEEKDAY(I19), "ddd"))</f>
        <v>Wed</v>
      </c>
      <c r="J20" s="22" t="str">
        <f t="shared" si="10"/>
        <v>Thu</v>
      </c>
      <c r="K20" s="22" t="str">
        <f t="shared" si="10"/>
        <v>Fri</v>
      </c>
      <c r="L20" s="22" t="str">
        <f t="shared" si="10"/>
        <v>Sat</v>
      </c>
      <c r="M20" s="22" t="str">
        <f t="shared" si="10"/>
        <v>Sun</v>
      </c>
      <c r="N20" s="22" t="str">
        <f t="shared" si="10"/>
        <v>Mon</v>
      </c>
      <c r="O20" s="22" t="str">
        <f t="shared" si="10"/>
        <v>Tue</v>
      </c>
      <c r="P20" s="21" t="str">
        <f t="shared" si="10"/>
        <v>Wed</v>
      </c>
      <c r="Q20" s="21" t="str">
        <f t="shared" si="10"/>
        <v>Thu</v>
      </c>
      <c r="R20" s="22" t="str">
        <f t="shared" si="10"/>
        <v>Fri</v>
      </c>
      <c r="S20" s="22" t="str">
        <f t="shared" si="10"/>
        <v>Sat</v>
      </c>
      <c r="T20" s="22" t="str">
        <f t="shared" si="10"/>
        <v>Sun</v>
      </c>
      <c r="U20" s="22" t="str">
        <f t="shared" si="10"/>
        <v>Mon</v>
      </c>
      <c r="V20" s="22" t="str">
        <f t="shared" si="10"/>
        <v>Tue</v>
      </c>
      <c r="W20" s="22" t="str">
        <f t="shared" si="10"/>
        <v>Wed</v>
      </c>
      <c r="X20" s="22" t="str">
        <f t="shared" si="10"/>
        <v>Thu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88</v>
      </c>
      <c r="E21" s="29">
        <f t="shared" ref="E21:E26" si="12">Z21*8</f>
        <v>88</v>
      </c>
      <c r="F21" s="29">
        <f t="shared" ref="F21:F26" si="13">G21+H21</f>
        <v>88</v>
      </c>
      <c r="G21" s="29">
        <f t="shared" ref="G21:G26" si="14">SUM(I21:X21)</f>
        <v>88</v>
      </c>
      <c r="H21" s="30">
        <v>0</v>
      </c>
      <c r="I21" s="32">
        <v>8</v>
      </c>
      <c r="J21" s="32">
        <v>8</v>
      </c>
      <c r="K21" s="32">
        <v>8</v>
      </c>
      <c r="L21" s="33"/>
      <c r="M21" s="33"/>
      <c r="N21" s="32">
        <v>8</v>
      </c>
      <c r="O21" s="32">
        <v>8</v>
      </c>
      <c r="P21" s="32">
        <v>8</v>
      </c>
      <c r="Q21" s="32">
        <v>8</v>
      </c>
      <c r="R21" s="32">
        <v>8</v>
      </c>
      <c r="S21" s="33"/>
      <c r="T21" s="33"/>
      <c r="U21" s="32">
        <v>8</v>
      </c>
      <c r="V21" s="46">
        <v>8</v>
      </c>
      <c r="W21" s="32">
        <v>8</v>
      </c>
      <c r="X21" s="31"/>
      <c r="Y21" s="29">
        <f t="shared" ref="Y21:Y26" si="15">Z21-COUNTA(I21:X21)</f>
        <v>0</v>
      </c>
      <c r="Z21" s="34"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88</v>
      </c>
      <c r="E22" s="29">
        <f t="shared" si="12"/>
        <v>88</v>
      </c>
      <c r="F22" s="29">
        <f t="shared" si="13"/>
        <v>88</v>
      </c>
      <c r="G22" s="29">
        <f t="shared" si="14"/>
        <v>88</v>
      </c>
      <c r="H22" s="30">
        <v>0</v>
      </c>
      <c r="I22" s="32">
        <v>8</v>
      </c>
      <c r="J22" s="32">
        <v>8</v>
      </c>
      <c r="K22" s="32">
        <v>8</v>
      </c>
      <c r="L22" s="33"/>
      <c r="M22" s="33"/>
      <c r="N22" s="32">
        <v>8</v>
      </c>
      <c r="O22" s="32">
        <v>8</v>
      </c>
      <c r="P22" s="32">
        <v>8</v>
      </c>
      <c r="Q22" s="32">
        <v>8</v>
      </c>
      <c r="R22" s="32">
        <v>8</v>
      </c>
      <c r="S22" s="33"/>
      <c r="T22" s="33"/>
      <c r="U22" s="32">
        <v>8</v>
      </c>
      <c r="V22" s="46">
        <v>8</v>
      </c>
      <c r="W22" s="32">
        <v>8</v>
      </c>
      <c r="X22" s="31"/>
      <c r="Y22" s="29">
        <f t="shared" si="15"/>
        <v>0</v>
      </c>
      <c r="Z22" s="34"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88</v>
      </c>
      <c r="E23" s="29">
        <f t="shared" si="12"/>
        <v>88</v>
      </c>
      <c r="F23" s="29">
        <f t="shared" si="13"/>
        <v>80</v>
      </c>
      <c r="G23" s="29">
        <f t="shared" si="14"/>
        <v>80</v>
      </c>
      <c r="H23" s="30">
        <v>0</v>
      </c>
      <c r="I23" s="32">
        <v>8</v>
      </c>
      <c r="J23" s="32">
        <v>8</v>
      </c>
      <c r="K23" s="32">
        <v>8</v>
      </c>
      <c r="L23" s="33"/>
      <c r="M23" s="33"/>
      <c r="N23" s="38"/>
      <c r="O23" s="32">
        <v>8</v>
      </c>
      <c r="P23" s="32">
        <v>8</v>
      </c>
      <c r="Q23" s="32">
        <v>8</v>
      </c>
      <c r="R23" s="48">
        <v>8</v>
      </c>
      <c r="S23" s="33"/>
      <c r="T23" s="33"/>
      <c r="U23" s="32">
        <v>8</v>
      </c>
      <c r="V23" s="46">
        <v>8</v>
      </c>
      <c r="W23" s="32">
        <v>8</v>
      </c>
      <c r="X23" s="31"/>
      <c r="Y23" s="29">
        <f t="shared" si="15"/>
        <v>1</v>
      </c>
      <c r="Z23" s="34"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88</v>
      </c>
      <c r="E24" s="29">
        <f t="shared" si="12"/>
        <v>88</v>
      </c>
      <c r="F24" s="29">
        <f t="shared" si="13"/>
        <v>88</v>
      </c>
      <c r="G24" s="29">
        <f t="shared" si="14"/>
        <v>88</v>
      </c>
      <c r="H24" s="30">
        <v>0</v>
      </c>
      <c r="I24" s="32">
        <v>8</v>
      </c>
      <c r="J24" s="32">
        <v>8</v>
      </c>
      <c r="K24" s="32">
        <v>8</v>
      </c>
      <c r="L24" s="33"/>
      <c r="M24" s="33"/>
      <c r="N24" s="32">
        <v>8</v>
      </c>
      <c r="O24" s="32">
        <v>8</v>
      </c>
      <c r="P24" s="32">
        <v>8</v>
      </c>
      <c r="Q24" s="32">
        <v>8</v>
      </c>
      <c r="R24" s="32">
        <v>8</v>
      </c>
      <c r="S24" s="33"/>
      <c r="T24" s="33"/>
      <c r="U24" s="32">
        <v>8</v>
      </c>
      <c r="V24" s="46">
        <v>8</v>
      </c>
      <c r="W24" s="32">
        <v>8</v>
      </c>
      <c r="X24" s="31"/>
      <c r="Y24" s="29">
        <f t="shared" si="15"/>
        <v>0</v>
      </c>
      <c r="Z24" s="34"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88</v>
      </c>
      <c r="E25" s="29">
        <f t="shared" si="12"/>
        <v>88</v>
      </c>
      <c r="F25" s="29">
        <f t="shared" si="13"/>
        <v>88</v>
      </c>
      <c r="G25" s="29">
        <f t="shared" si="14"/>
        <v>88</v>
      </c>
      <c r="H25" s="30">
        <v>0</v>
      </c>
      <c r="I25" s="32">
        <v>8</v>
      </c>
      <c r="J25" s="32">
        <v>8</v>
      </c>
      <c r="K25" s="32">
        <v>8</v>
      </c>
      <c r="L25" s="33"/>
      <c r="M25" s="33"/>
      <c r="N25" s="32">
        <v>8</v>
      </c>
      <c r="O25" s="32">
        <v>8</v>
      </c>
      <c r="P25" s="32">
        <v>8</v>
      </c>
      <c r="Q25" s="32">
        <v>8</v>
      </c>
      <c r="R25" s="48">
        <v>8</v>
      </c>
      <c r="S25" s="33"/>
      <c r="T25" s="33"/>
      <c r="U25" s="32">
        <v>8</v>
      </c>
      <c r="V25" s="46">
        <v>8</v>
      </c>
      <c r="W25" s="32">
        <v>8</v>
      </c>
      <c r="X25" s="31"/>
      <c r="Y25" s="29">
        <f t="shared" si="15"/>
        <v>0</v>
      </c>
      <c r="Z25" s="34"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88</v>
      </c>
      <c r="E26" s="29">
        <f t="shared" si="12"/>
        <v>88</v>
      </c>
      <c r="F26" s="29">
        <f t="shared" si="13"/>
        <v>88</v>
      </c>
      <c r="G26" s="29">
        <f t="shared" si="14"/>
        <v>88</v>
      </c>
      <c r="H26" s="30">
        <v>0</v>
      </c>
      <c r="I26" s="32">
        <v>8</v>
      </c>
      <c r="J26" s="32">
        <v>8</v>
      </c>
      <c r="K26" s="32">
        <v>8</v>
      </c>
      <c r="L26" s="33"/>
      <c r="M26" s="33"/>
      <c r="N26" s="32">
        <v>8</v>
      </c>
      <c r="O26" s="32">
        <v>8</v>
      </c>
      <c r="P26" s="32">
        <v>8</v>
      </c>
      <c r="Q26" s="32">
        <v>8</v>
      </c>
      <c r="R26" s="32">
        <v>8</v>
      </c>
      <c r="S26" s="33"/>
      <c r="T26" s="33"/>
      <c r="U26" s="32">
        <v>8</v>
      </c>
      <c r="V26" s="32">
        <v>8</v>
      </c>
      <c r="W26" s="32">
        <v>8</v>
      </c>
      <c r="X26" s="31"/>
      <c r="Y26" s="29">
        <f t="shared" si="15"/>
        <v>0</v>
      </c>
      <c r="Z26" s="34">
        <v>11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528</v>
      </c>
      <c r="E32" s="194">
        <f t="shared" si="16"/>
        <v>528</v>
      </c>
      <c r="F32" s="194">
        <f t="shared" si="16"/>
        <v>520</v>
      </c>
      <c r="G32" s="194">
        <f t="shared" si="16"/>
        <v>520</v>
      </c>
      <c r="H32" s="194">
        <f t="shared" si="16"/>
        <v>0</v>
      </c>
      <c r="I32" s="194">
        <f t="shared" si="16"/>
        <v>48</v>
      </c>
      <c r="J32" s="194">
        <f t="shared" si="16"/>
        <v>48</v>
      </c>
      <c r="K32" s="194">
        <f t="shared" si="16"/>
        <v>48</v>
      </c>
      <c r="L32" s="194">
        <f t="shared" si="16"/>
        <v>0</v>
      </c>
      <c r="M32" s="194">
        <f t="shared" si="16"/>
        <v>0</v>
      </c>
      <c r="N32" s="194">
        <f t="shared" si="16"/>
        <v>40</v>
      </c>
      <c r="O32" s="194">
        <f t="shared" si="16"/>
        <v>48</v>
      </c>
      <c r="P32" s="194">
        <f t="shared" si="16"/>
        <v>48</v>
      </c>
      <c r="Q32" s="194">
        <f t="shared" si="16"/>
        <v>48</v>
      </c>
      <c r="R32" s="194">
        <f t="shared" si="16"/>
        <v>48</v>
      </c>
      <c r="S32" s="194">
        <f t="shared" si="16"/>
        <v>0</v>
      </c>
      <c r="T32" s="194">
        <f t="shared" si="16"/>
        <v>0</v>
      </c>
      <c r="U32" s="194">
        <f t="shared" si="16"/>
        <v>48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168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152</v>
      </c>
      <c r="C37" s="60">
        <f t="shared" si="18"/>
        <v>168</v>
      </c>
      <c r="D37" s="61">
        <f t="shared" si="19"/>
        <v>152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160</v>
      </c>
      <c r="C38" s="60">
        <f t="shared" si="18"/>
        <v>168</v>
      </c>
      <c r="D38" s="61">
        <f t="shared" si="19"/>
        <v>160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168</v>
      </c>
      <c r="C39" s="60">
        <f t="shared" si="18"/>
        <v>168</v>
      </c>
      <c r="D39" s="61">
        <f t="shared" si="19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160</v>
      </c>
      <c r="C40" s="60">
        <f t="shared" si="18"/>
        <v>168</v>
      </c>
      <c r="D40" s="61">
        <f t="shared" si="19"/>
        <v>160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168</v>
      </c>
      <c r="C41" s="67">
        <f t="shared" si="18"/>
        <v>168</v>
      </c>
      <c r="D41" s="68">
        <f t="shared" si="19"/>
        <v>168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12</v>
      </c>
      <c r="C58" s="79">
        <f t="shared" ref="C58:C59" si="27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1</v>
      </c>
      <c r="C59" s="79">
        <f t="shared" si="27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11</v>
      </c>
      <c r="C60" s="81">
        <f t="shared" si="28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06666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45597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45597</v>
      </c>
      <c r="J3" s="14">
        <f t="shared" ref="J3:W3" si="0">I3+1</f>
        <v>45598</v>
      </c>
      <c r="K3" s="14">
        <f t="shared" si="0"/>
        <v>45599</v>
      </c>
      <c r="L3" s="14">
        <f t="shared" si="0"/>
        <v>45600</v>
      </c>
      <c r="M3" s="14">
        <f t="shared" si="0"/>
        <v>45601</v>
      </c>
      <c r="N3" s="14">
        <f t="shared" si="0"/>
        <v>45602</v>
      </c>
      <c r="O3" s="14">
        <f t="shared" si="0"/>
        <v>45603</v>
      </c>
      <c r="P3" s="14">
        <f t="shared" si="0"/>
        <v>45604</v>
      </c>
      <c r="Q3" s="14">
        <f t="shared" si="0"/>
        <v>45605</v>
      </c>
      <c r="R3" s="14">
        <f t="shared" si="0"/>
        <v>45606</v>
      </c>
      <c r="S3" s="14">
        <f t="shared" si="0"/>
        <v>45607</v>
      </c>
      <c r="T3" s="14">
        <f t="shared" si="0"/>
        <v>45608</v>
      </c>
      <c r="U3" s="14">
        <f t="shared" si="0"/>
        <v>45609</v>
      </c>
      <c r="V3" s="14">
        <f t="shared" si="0"/>
        <v>45610</v>
      </c>
      <c r="W3" s="14">
        <f t="shared" si="0"/>
        <v>45611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Fri</v>
      </c>
      <c r="J4" s="21" t="str">
        <f t="shared" si="1"/>
        <v>Sat</v>
      </c>
      <c r="K4" s="21" t="str">
        <f t="shared" si="1"/>
        <v>Sun</v>
      </c>
      <c r="L4" s="22" t="str">
        <f t="shared" si="1"/>
        <v>Mon</v>
      </c>
      <c r="M4" s="22" t="str">
        <f t="shared" si="1"/>
        <v>Tue</v>
      </c>
      <c r="N4" s="20" t="str">
        <f t="shared" si="1"/>
        <v>Wed</v>
      </c>
      <c r="O4" s="20" t="str">
        <f t="shared" si="1"/>
        <v>Thu</v>
      </c>
      <c r="P4" s="22" t="str">
        <f t="shared" si="1"/>
        <v>Fri</v>
      </c>
      <c r="Q4" s="22" t="str">
        <f t="shared" si="1"/>
        <v>Sat</v>
      </c>
      <c r="R4" s="22" t="str">
        <f t="shared" si="1"/>
        <v>Sun</v>
      </c>
      <c r="S4" s="22" t="str">
        <f t="shared" si="1"/>
        <v>Mon</v>
      </c>
      <c r="T4" s="22" t="str">
        <f t="shared" si="1"/>
        <v>Tue</v>
      </c>
      <c r="U4" s="22" t="str">
        <f t="shared" si="1"/>
        <v>Wed</v>
      </c>
      <c r="V4" s="22" t="str">
        <f t="shared" si="1"/>
        <v>Thu</v>
      </c>
      <c r="W4" s="22" t="str">
        <f t="shared" si="1"/>
        <v>Fri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0" si="2">E5</f>
        <v>80</v>
      </c>
      <c r="E5" s="29">
        <f t="shared" ref="E5:E10" si="3">Y5*8</f>
        <v>80</v>
      </c>
      <c r="F5" s="29">
        <f t="shared" ref="F5:F10" si="4">G5+H5</f>
        <v>80</v>
      </c>
      <c r="G5" s="29">
        <f t="shared" ref="G5:G10" si="5">SUM(I5:W5)</f>
        <v>80</v>
      </c>
      <c r="H5" s="30">
        <v>0</v>
      </c>
      <c r="I5" s="31"/>
      <c r="J5" s="33"/>
      <c r="K5" s="33"/>
      <c r="L5" s="32">
        <v>8</v>
      </c>
      <c r="M5" s="32">
        <v>8</v>
      </c>
      <c r="N5" s="32">
        <v>8</v>
      </c>
      <c r="O5" s="32">
        <v>8</v>
      </c>
      <c r="P5" s="32">
        <v>8</v>
      </c>
      <c r="Q5" s="33"/>
      <c r="R5" s="33"/>
      <c r="S5" s="32">
        <v>8</v>
      </c>
      <c r="T5" s="32">
        <v>8</v>
      </c>
      <c r="U5" s="32">
        <v>8</v>
      </c>
      <c r="V5" s="32">
        <v>8</v>
      </c>
      <c r="W5" s="32">
        <v>8</v>
      </c>
      <c r="X5" s="29">
        <f t="shared" ref="X5:X15" si="6">Y5-COUNTA(I5:W5)</f>
        <v>0</v>
      </c>
      <c r="Y5" s="34"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80</v>
      </c>
      <c r="G6" s="29">
        <f t="shared" si="5"/>
        <v>80</v>
      </c>
      <c r="H6" s="30">
        <v>0</v>
      </c>
      <c r="I6" s="31"/>
      <c r="J6" s="33"/>
      <c r="K6" s="33"/>
      <c r="L6" s="32">
        <v>8</v>
      </c>
      <c r="M6" s="32">
        <v>8</v>
      </c>
      <c r="N6" s="32">
        <v>8</v>
      </c>
      <c r="O6" s="32">
        <v>8</v>
      </c>
      <c r="P6" s="32">
        <v>8</v>
      </c>
      <c r="Q6" s="33"/>
      <c r="R6" s="33"/>
      <c r="S6" s="32">
        <v>8</v>
      </c>
      <c r="T6" s="32">
        <v>8</v>
      </c>
      <c r="U6" s="32">
        <v>8</v>
      </c>
      <c r="V6" s="32">
        <v>8</v>
      </c>
      <c r="W6" s="32">
        <v>8</v>
      </c>
      <c r="X6" s="29">
        <f t="shared" si="6"/>
        <v>0</v>
      </c>
      <c r="Y6" s="34">
        <v>10</v>
      </c>
      <c r="Z6" s="13"/>
      <c r="AA6" s="90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80</v>
      </c>
      <c r="G7" s="29">
        <f t="shared" si="5"/>
        <v>80</v>
      </c>
      <c r="H7" s="30">
        <v>0</v>
      </c>
      <c r="I7" s="31"/>
      <c r="J7" s="33"/>
      <c r="K7" s="33"/>
      <c r="L7" s="32">
        <v>8</v>
      </c>
      <c r="M7" s="32">
        <v>8</v>
      </c>
      <c r="N7" s="32">
        <v>8</v>
      </c>
      <c r="O7" s="32">
        <v>8</v>
      </c>
      <c r="P7" s="32">
        <v>8</v>
      </c>
      <c r="Q7" s="33"/>
      <c r="R7" s="33"/>
      <c r="S7" s="32">
        <v>8</v>
      </c>
      <c r="T7" s="32">
        <v>8</v>
      </c>
      <c r="U7" s="32">
        <v>8</v>
      </c>
      <c r="V7" s="32">
        <v>8</v>
      </c>
      <c r="W7" s="32">
        <v>8</v>
      </c>
      <c r="X7" s="29">
        <f t="shared" si="6"/>
        <v>0</v>
      </c>
      <c r="Y7" s="34"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1"/>
      <c r="J8" s="33"/>
      <c r="K8" s="33"/>
      <c r="L8" s="32">
        <v>8</v>
      </c>
      <c r="M8" s="32">
        <v>8</v>
      </c>
      <c r="N8" s="32">
        <v>8</v>
      </c>
      <c r="O8" s="32">
        <v>8</v>
      </c>
      <c r="P8" s="32">
        <v>8</v>
      </c>
      <c r="Q8" s="33"/>
      <c r="R8" s="33"/>
      <c r="S8" s="32">
        <v>8</v>
      </c>
      <c r="T8" s="32">
        <v>8</v>
      </c>
      <c r="U8" s="32">
        <v>8</v>
      </c>
      <c r="V8" s="32">
        <v>8</v>
      </c>
      <c r="W8" s="32">
        <v>8</v>
      </c>
      <c r="X8" s="29">
        <f t="shared" si="6"/>
        <v>0</v>
      </c>
      <c r="Y8" s="34"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72</v>
      </c>
      <c r="G9" s="29">
        <f t="shared" si="5"/>
        <v>72</v>
      </c>
      <c r="H9" s="30">
        <v>0</v>
      </c>
      <c r="I9" s="31"/>
      <c r="J9" s="33"/>
      <c r="K9" s="33"/>
      <c r="L9" s="38"/>
      <c r="M9" s="32">
        <v>8</v>
      </c>
      <c r="N9" s="32">
        <v>8</v>
      </c>
      <c r="O9" s="32">
        <v>8</v>
      </c>
      <c r="P9" s="32">
        <v>8</v>
      </c>
      <c r="Q9" s="33"/>
      <c r="R9" s="33"/>
      <c r="S9" s="32">
        <v>8</v>
      </c>
      <c r="T9" s="32">
        <v>8</v>
      </c>
      <c r="U9" s="32">
        <v>8</v>
      </c>
      <c r="V9" s="48">
        <v>8</v>
      </c>
      <c r="W9" s="48">
        <v>8</v>
      </c>
      <c r="X9" s="29">
        <f t="shared" si="6"/>
        <v>1</v>
      </c>
      <c r="Y9" s="34"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72</v>
      </c>
      <c r="G10" s="29">
        <f t="shared" si="5"/>
        <v>72</v>
      </c>
      <c r="H10" s="30">
        <v>0</v>
      </c>
      <c r="I10" s="31"/>
      <c r="J10" s="33"/>
      <c r="K10" s="33"/>
      <c r="L10" s="32">
        <v>8</v>
      </c>
      <c r="M10" s="32">
        <v>8</v>
      </c>
      <c r="N10" s="32">
        <v>8</v>
      </c>
      <c r="O10" s="38"/>
      <c r="P10" s="32">
        <v>8</v>
      </c>
      <c r="Q10" s="33"/>
      <c r="R10" s="33"/>
      <c r="S10" s="32">
        <v>8</v>
      </c>
      <c r="T10" s="32">
        <v>8</v>
      </c>
      <c r="U10" s="32">
        <v>8</v>
      </c>
      <c r="V10" s="32">
        <v>8</v>
      </c>
      <c r="W10" s="32">
        <v>8</v>
      </c>
      <c r="X10" s="29">
        <f t="shared" si="6"/>
        <v>1</v>
      </c>
      <c r="Y10" s="34"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hidden="1" customHeight="1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29">
        <f t="shared" si="6"/>
        <v>10</v>
      </c>
      <c r="Y11" s="30">
        <f t="shared" ref="Y11:Y15" si="7">NETWORKDAYS($I$3,$W$3,$W$3)</f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29">
        <f t="shared" si="6"/>
        <v>10</v>
      </c>
      <c r="Y12" s="30">
        <f t="shared" si="7"/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6"/>
        <v>10</v>
      </c>
      <c r="Y13" s="30">
        <f t="shared" si="7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6"/>
        <v>10</v>
      </c>
      <c r="Y14" s="30">
        <f t="shared" si="7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6"/>
        <v>10</v>
      </c>
      <c r="Y15" s="30">
        <f t="shared" si="7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8">SUM(D5:D15)</f>
        <v>480</v>
      </c>
      <c r="E16" s="194">
        <f t="shared" si="8"/>
        <v>480</v>
      </c>
      <c r="F16" s="194">
        <f t="shared" si="8"/>
        <v>464</v>
      </c>
      <c r="G16" s="194">
        <f t="shared" si="8"/>
        <v>464</v>
      </c>
      <c r="H16" s="194">
        <f t="shared" si="8"/>
        <v>0</v>
      </c>
      <c r="I16" s="194">
        <f t="shared" si="8"/>
        <v>0</v>
      </c>
      <c r="J16" s="194">
        <f t="shared" si="8"/>
        <v>0</v>
      </c>
      <c r="K16" s="194">
        <f t="shared" si="8"/>
        <v>0</v>
      </c>
      <c r="L16" s="194">
        <f t="shared" si="8"/>
        <v>40</v>
      </c>
      <c r="M16" s="194">
        <f t="shared" si="8"/>
        <v>48</v>
      </c>
      <c r="N16" s="194">
        <f t="shared" si="8"/>
        <v>48</v>
      </c>
      <c r="O16" s="194">
        <f t="shared" si="8"/>
        <v>40</v>
      </c>
      <c r="P16" s="194">
        <f t="shared" si="8"/>
        <v>48</v>
      </c>
      <c r="Q16" s="194">
        <f t="shared" si="8"/>
        <v>0</v>
      </c>
      <c r="R16" s="194">
        <f t="shared" si="8"/>
        <v>0</v>
      </c>
      <c r="S16" s="194">
        <f t="shared" si="8"/>
        <v>48</v>
      </c>
      <c r="T16" s="194">
        <f t="shared" si="8"/>
        <v>48</v>
      </c>
      <c r="U16" s="194">
        <f t="shared" si="8"/>
        <v>48</v>
      </c>
      <c r="V16" s="194">
        <f t="shared" si="8"/>
        <v>48</v>
      </c>
      <c r="W16" s="194">
        <f t="shared" si="8"/>
        <v>48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45612</v>
      </c>
      <c r="J19" s="44">
        <f t="shared" ref="J19:W19" si="9">I19+1</f>
        <v>45613</v>
      </c>
      <c r="K19" s="44">
        <f t="shared" si="9"/>
        <v>45614</v>
      </c>
      <c r="L19" s="14">
        <f t="shared" si="9"/>
        <v>45615</v>
      </c>
      <c r="M19" s="44">
        <f t="shared" si="9"/>
        <v>45616</v>
      </c>
      <c r="N19" s="44">
        <f t="shared" si="9"/>
        <v>45617</v>
      </c>
      <c r="O19" s="44">
        <f t="shared" si="9"/>
        <v>45618</v>
      </c>
      <c r="P19" s="44">
        <f t="shared" si="9"/>
        <v>45619</v>
      </c>
      <c r="Q19" s="44">
        <f t="shared" si="9"/>
        <v>45620</v>
      </c>
      <c r="R19" s="44">
        <f t="shared" si="9"/>
        <v>45621</v>
      </c>
      <c r="S19" s="44">
        <f t="shared" si="9"/>
        <v>45622</v>
      </c>
      <c r="T19" s="44">
        <f t="shared" si="9"/>
        <v>45623</v>
      </c>
      <c r="U19" s="44">
        <f t="shared" si="9"/>
        <v>45624</v>
      </c>
      <c r="V19" s="44">
        <f t="shared" si="9"/>
        <v>45625</v>
      </c>
      <c r="W19" s="44">
        <f t="shared" si="9"/>
        <v>45626</v>
      </c>
      <c r="X19" s="91"/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W20" si="10">IF(I19="","",TEXT(WEEKDAY(I19), "ddd"))</f>
        <v>Sat</v>
      </c>
      <c r="J20" s="22" t="str">
        <f t="shared" si="10"/>
        <v>Sun</v>
      </c>
      <c r="K20" s="22" t="str">
        <f t="shared" si="10"/>
        <v>Mon</v>
      </c>
      <c r="L20" s="22" t="str">
        <f t="shared" si="10"/>
        <v>Tue</v>
      </c>
      <c r="M20" s="22" t="str">
        <f t="shared" si="10"/>
        <v>Wed</v>
      </c>
      <c r="N20" s="22" t="str">
        <f t="shared" si="10"/>
        <v>Thu</v>
      </c>
      <c r="O20" s="22" t="str">
        <f t="shared" si="10"/>
        <v>Fri</v>
      </c>
      <c r="P20" s="21" t="str">
        <f t="shared" si="10"/>
        <v>Sat</v>
      </c>
      <c r="Q20" s="21" t="str">
        <f t="shared" si="10"/>
        <v>Sun</v>
      </c>
      <c r="R20" s="22" t="str">
        <f t="shared" si="10"/>
        <v>Mon</v>
      </c>
      <c r="S20" s="22" t="str">
        <f t="shared" si="10"/>
        <v>Tue</v>
      </c>
      <c r="T20" s="22" t="str">
        <f t="shared" si="10"/>
        <v>Wed</v>
      </c>
      <c r="U20" s="22" t="str">
        <f t="shared" si="10"/>
        <v>Thu</v>
      </c>
      <c r="V20" s="22" t="str">
        <f t="shared" si="10"/>
        <v>Fri</v>
      </c>
      <c r="W20" s="22" t="str">
        <f t="shared" si="10"/>
        <v>Sat</v>
      </c>
      <c r="X20" s="46"/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6" si="11">E21</f>
        <v>80</v>
      </c>
      <c r="E21" s="29">
        <f t="shared" ref="E21:E26" si="12">Z21*8</f>
        <v>80</v>
      </c>
      <c r="F21" s="29">
        <f t="shared" ref="F21:F26" si="13">G21+H21</f>
        <v>80</v>
      </c>
      <c r="G21" s="29">
        <f t="shared" ref="G21:G26" si="14">SUM(I21:X21)</f>
        <v>80</v>
      </c>
      <c r="H21" s="30">
        <v>0</v>
      </c>
      <c r="I21" s="33"/>
      <c r="J21" s="33"/>
      <c r="K21" s="32">
        <v>8</v>
      </c>
      <c r="L21" s="32">
        <v>8</v>
      </c>
      <c r="M21" s="32">
        <v>8</v>
      </c>
      <c r="N21" s="32">
        <v>8</v>
      </c>
      <c r="O21" s="32">
        <v>8</v>
      </c>
      <c r="P21" s="33"/>
      <c r="Q21" s="33"/>
      <c r="R21" s="32">
        <v>8</v>
      </c>
      <c r="S21" s="32">
        <v>8</v>
      </c>
      <c r="T21" s="32">
        <v>8</v>
      </c>
      <c r="U21" s="32">
        <v>8</v>
      </c>
      <c r="V21" s="46">
        <v>8</v>
      </c>
      <c r="W21" s="33"/>
      <c r="X21" s="32"/>
      <c r="Y21" s="29">
        <f t="shared" ref="Y21:Y26" si="15">Z21-COUNTA(I21:X21)</f>
        <v>0</v>
      </c>
      <c r="Z21" s="34">
        <v>10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1"/>
        <v>80</v>
      </c>
      <c r="E22" s="29">
        <f t="shared" si="12"/>
        <v>80</v>
      </c>
      <c r="F22" s="29">
        <f t="shared" si="13"/>
        <v>80</v>
      </c>
      <c r="G22" s="29">
        <f t="shared" si="14"/>
        <v>80</v>
      </c>
      <c r="H22" s="30">
        <v>0</v>
      </c>
      <c r="I22" s="33"/>
      <c r="J22" s="33"/>
      <c r="K22" s="32">
        <v>8</v>
      </c>
      <c r="L22" s="32">
        <v>8</v>
      </c>
      <c r="M22" s="32">
        <v>8</v>
      </c>
      <c r="N22" s="32">
        <v>8</v>
      </c>
      <c r="O22" s="32">
        <v>8</v>
      </c>
      <c r="P22" s="33"/>
      <c r="Q22" s="33"/>
      <c r="R22" s="32">
        <v>8</v>
      </c>
      <c r="S22" s="32">
        <v>8</v>
      </c>
      <c r="T22" s="32">
        <v>8</v>
      </c>
      <c r="U22" s="32">
        <v>8</v>
      </c>
      <c r="V22" s="46">
        <v>8</v>
      </c>
      <c r="W22" s="33"/>
      <c r="X22" s="32"/>
      <c r="Y22" s="29">
        <f t="shared" si="15"/>
        <v>0</v>
      </c>
      <c r="Z22" s="34">
        <v>10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1"/>
        <v>80</v>
      </c>
      <c r="E23" s="29">
        <f t="shared" si="12"/>
        <v>80</v>
      </c>
      <c r="F23" s="29">
        <f t="shared" si="13"/>
        <v>72</v>
      </c>
      <c r="G23" s="29">
        <f t="shared" si="14"/>
        <v>72</v>
      </c>
      <c r="H23" s="30">
        <v>0</v>
      </c>
      <c r="I23" s="33"/>
      <c r="J23" s="33"/>
      <c r="K23" s="32">
        <v>8</v>
      </c>
      <c r="L23" s="32">
        <v>8</v>
      </c>
      <c r="M23" s="32">
        <v>8</v>
      </c>
      <c r="N23" s="32">
        <v>8</v>
      </c>
      <c r="O23" s="32">
        <v>8</v>
      </c>
      <c r="P23" s="33"/>
      <c r="Q23" s="33"/>
      <c r="R23" s="38"/>
      <c r="S23" s="32">
        <v>8</v>
      </c>
      <c r="T23" s="32">
        <v>8</v>
      </c>
      <c r="U23" s="32">
        <v>8</v>
      </c>
      <c r="V23" s="46">
        <v>8</v>
      </c>
      <c r="W23" s="33"/>
      <c r="X23" s="32"/>
      <c r="Y23" s="29">
        <f t="shared" si="15"/>
        <v>1</v>
      </c>
      <c r="Z23" s="34">
        <v>10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1"/>
        <v>80</v>
      </c>
      <c r="E24" s="29">
        <f t="shared" si="12"/>
        <v>80</v>
      </c>
      <c r="F24" s="29">
        <f t="shared" si="13"/>
        <v>72</v>
      </c>
      <c r="G24" s="29">
        <f t="shared" si="14"/>
        <v>72</v>
      </c>
      <c r="H24" s="30">
        <v>0</v>
      </c>
      <c r="I24" s="33"/>
      <c r="J24" s="33"/>
      <c r="K24" s="32">
        <v>8</v>
      </c>
      <c r="L24" s="32">
        <v>8</v>
      </c>
      <c r="M24" s="32">
        <v>8</v>
      </c>
      <c r="N24" s="32">
        <v>8</v>
      </c>
      <c r="O24" s="32">
        <v>8</v>
      </c>
      <c r="P24" s="33"/>
      <c r="Q24" s="33"/>
      <c r="R24" s="32">
        <v>8</v>
      </c>
      <c r="S24" s="38"/>
      <c r="T24" s="32">
        <v>8</v>
      </c>
      <c r="U24" s="32">
        <v>8</v>
      </c>
      <c r="V24" s="46">
        <v>8</v>
      </c>
      <c r="W24" s="33"/>
      <c r="X24" s="32"/>
      <c r="Y24" s="29">
        <f t="shared" si="15"/>
        <v>1</v>
      </c>
      <c r="Z24" s="34">
        <v>10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1"/>
        <v>80</v>
      </c>
      <c r="E25" s="29">
        <f t="shared" si="12"/>
        <v>80</v>
      </c>
      <c r="F25" s="29">
        <f t="shared" si="13"/>
        <v>80</v>
      </c>
      <c r="G25" s="29">
        <f t="shared" si="14"/>
        <v>80</v>
      </c>
      <c r="H25" s="30">
        <v>0</v>
      </c>
      <c r="I25" s="33"/>
      <c r="J25" s="33"/>
      <c r="K25" s="32">
        <v>8</v>
      </c>
      <c r="L25" s="32">
        <v>8</v>
      </c>
      <c r="M25" s="32">
        <v>8</v>
      </c>
      <c r="N25" s="32">
        <v>8</v>
      </c>
      <c r="O25" s="32">
        <v>8</v>
      </c>
      <c r="P25" s="33"/>
      <c r="Q25" s="33"/>
      <c r="R25" s="48">
        <v>8</v>
      </c>
      <c r="S25" s="32">
        <v>8</v>
      </c>
      <c r="T25" s="32">
        <v>8</v>
      </c>
      <c r="U25" s="32">
        <v>8</v>
      </c>
      <c r="V25" s="46">
        <v>8</v>
      </c>
      <c r="W25" s="33"/>
      <c r="X25" s="32"/>
      <c r="Y25" s="29">
        <f t="shared" si="15"/>
        <v>0</v>
      </c>
      <c r="Z25" s="34">
        <v>10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1"/>
        <v>80</v>
      </c>
      <c r="E26" s="29">
        <f t="shared" si="12"/>
        <v>80</v>
      </c>
      <c r="F26" s="29">
        <f t="shared" si="13"/>
        <v>72</v>
      </c>
      <c r="G26" s="29">
        <f t="shared" si="14"/>
        <v>72</v>
      </c>
      <c r="H26" s="30">
        <v>0</v>
      </c>
      <c r="I26" s="33"/>
      <c r="J26" s="33"/>
      <c r="K26" s="32">
        <v>8</v>
      </c>
      <c r="L26" s="32">
        <v>8</v>
      </c>
      <c r="M26" s="32">
        <v>8</v>
      </c>
      <c r="N26" s="32">
        <v>8</v>
      </c>
      <c r="O26" s="32">
        <v>8</v>
      </c>
      <c r="P26" s="33"/>
      <c r="Q26" s="33"/>
      <c r="R26" s="32">
        <v>8</v>
      </c>
      <c r="S26" s="32">
        <v>8</v>
      </c>
      <c r="T26" s="32">
        <v>8</v>
      </c>
      <c r="U26" s="38"/>
      <c r="V26" s="32">
        <v>8</v>
      </c>
      <c r="W26" s="33"/>
      <c r="X26" s="32"/>
      <c r="Y26" s="29">
        <f t="shared" si="15"/>
        <v>1</v>
      </c>
      <c r="Z26" s="34">
        <v>10</v>
      </c>
      <c r="AA26" s="13"/>
      <c r="AB26" s="15"/>
    </row>
    <row r="27" spans="1:35" ht="12.75" hidden="1" customHeight="1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29"/>
      <c r="Z27" s="30"/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6">SUM(D21:D31)</f>
        <v>480</v>
      </c>
      <c r="E32" s="194">
        <f t="shared" si="16"/>
        <v>480</v>
      </c>
      <c r="F32" s="194">
        <f t="shared" si="16"/>
        <v>456</v>
      </c>
      <c r="G32" s="194">
        <f t="shared" si="16"/>
        <v>456</v>
      </c>
      <c r="H32" s="194">
        <f t="shared" si="16"/>
        <v>0</v>
      </c>
      <c r="I32" s="194">
        <f t="shared" si="16"/>
        <v>0</v>
      </c>
      <c r="J32" s="194">
        <f t="shared" si="16"/>
        <v>0</v>
      </c>
      <c r="K32" s="194">
        <f t="shared" si="16"/>
        <v>48</v>
      </c>
      <c r="L32" s="194">
        <f t="shared" si="16"/>
        <v>48</v>
      </c>
      <c r="M32" s="194">
        <f t="shared" si="16"/>
        <v>48</v>
      </c>
      <c r="N32" s="194">
        <f t="shared" si="16"/>
        <v>48</v>
      </c>
      <c r="O32" s="194">
        <f t="shared" si="16"/>
        <v>48</v>
      </c>
      <c r="P32" s="194">
        <f t="shared" si="16"/>
        <v>0</v>
      </c>
      <c r="Q32" s="194">
        <f t="shared" si="16"/>
        <v>0</v>
      </c>
      <c r="R32" s="194">
        <f t="shared" si="16"/>
        <v>40</v>
      </c>
      <c r="S32" s="194">
        <f t="shared" si="16"/>
        <v>40</v>
      </c>
      <c r="T32" s="194">
        <f t="shared" si="16"/>
        <v>48</v>
      </c>
      <c r="U32" s="194">
        <f t="shared" si="16"/>
        <v>40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17">F5+F21</f>
        <v>160</v>
      </c>
      <c r="C36" s="60">
        <f t="shared" ref="C36:C41" si="18">E5+E21</f>
        <v>160</v>
      </c>
      <c r="D36" s="61">
        <f t="shared" ref="D36:D41" si="19">B36</f>
        <v>160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17"/>
        <v>160</v>
      </c>
      <c r="C37" s="60">
        <f t="shared" si="18"/>
        <v>160</v>
      </c>
      <c r="D37" s="61">
        <f t="shared" si="19"/>
        <v>160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17"/>
        <v>152</v>
      </c>
      <c r="C38" s="60">
        <f t="shared" si="18"/>
        <v>160</v>
      </c>
      <c r="D38" s="61">
        <f t="shared" si="19"/>
        <v>152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17"/>
        <v>152</v>
      </c>
      <c r="C39" s="60">
        <f t="shared" si="18"/>
        <v>160</v>
      </c>
      <c r="D39" s="61">
        <f t="shared" si="19"/>
        <v>152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17"/>
        <v>152</v>
      </c>
      <c r="C40" s="60">
        <f t="shared" si="18"/>
        <v>160</v>
      </c>
      <c r="D40" s="61">
        <f t="shared" si="19"/>
        <v>152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5" t="s">
        <v>20</v>
      </c>
      <c r="B41" s="66">
        <f t="shared" si="17"/>
        <v>144</v>
      </c>
      <c r="C41" s="67">
        <f t="shared" si="18"/>
        <v>160</v>
      </c>
      <c r="D41" s="68">
        <f t="shared" si="19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hidden="1" customHeight="1">
      <c r="A42" s="93"/>
      <c r="B42" s="94">
        <f t="shared" ref="B42:B46" si="20">G11+G27</f>
        <v>0</v>
      </c>
      <c r="C42" s="95">
        <f t="shared" ref="C42:D42" si="21">B42</f>
        <v>0</v>
      </c>
      <c r="D42" s="106">
        <f t="shared" si="21"/>
        <v>0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58"/>
      <c r="B43" s="59">
        <f t="shared" si="20"/>
        <v>0</v>
      </c>
      <c r="C43" s="60">
        <f t="shared" ref="C43:D43" si="22">B43</f>
        <v>0</v>
      </c>
      <c r="D43" s="61">
        <f t="shared" si="22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0"/>
        <v>0</v>
      </c>
      <c r="C44" s="60">
        <f t="shared" ref="C44:D44" si="23">B44</f>
        <v>0</v>
      </c>
      <c r="D44" s="61">
        <f t="shared" si="23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0"/>
        <v>0</v>
      </c>
      <c r="C45" s="60">
        <f t="shared" ref="C45:D45" si="24">B45</f>
        <v>0</v>
      </c>
      <c r="D45" s="61">
        <f t="shared" si="24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0"/>
        <v>0</v>
      </c>
      <c r="C46" s="67">
        <f t="shared" ref="C46:D46" si="25">B46</f>
        <v>0</v>
      </c>
      <c r="D46" s="68">
        <f t="shared" si="25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v>11</v>
      </c>
      <c r="C51" s="76">
        <f>B51*8</f>
        <v>88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1</v>
      </c>
      <c r="C52" s="79">
        <f>B52*8</f>
        <v>8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6">B51-B52</f>
        <v>10</v>
      </c>
      <c r="C53" s="81">
        <f t="shared" si="26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v>10</v>
      </c>
      <c r="C58" s="79">
        <f t="shared" ref="C58:C59" si="27">B58*8</f>
        <v>80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v>0</v>
      </c>
      <c r="C59" s="79">
        <f t="shared" si="27"/>
        <v>0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28">B58-B59</f>
        <v>10</v>
      </c>
      <c r="C60" s="81">
        <f t="shared" si="28"/>
        <v>80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160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6AA84F"/>
  </sheetPr>
  <dimension ref="A1:AI1000"/>
  <sheetViews>
    <sheetView showGridLines="0" workbookViewId="0">
      <pane xSplit="2" topLeftCell="C1" activePane="topRight" state="frozen"/>
      <selection pane="topRight" activeCell="D2" sqref="D2"/>
    </sheetView>
  </sheetViews>
  <sheetFormatPr defaultColWidth="12.453125" defaultRowHeight="15.75" customHeight="1"/>
  <cols>
    <col min="1" max="1" width="23.453125" customWidth="1"/>
    <col min="2" max="2" width="11.81640625" customWidth="1"/>
    <col min="3" max="3" width="18.81640625" customWidth="1"/>
    <col min="4" max="4" width="10.453125" customWidth="1"/>
    <col min="5" max="5" width="8.453125" customWidth="1"/>
    <col min="6" max="6" width="7.453125" customWidth="1"/>
    <col min="7" max="7" width="9.453125" customWidth="1"/>
    <col min="8" max="8" width="9" customWidth="1"/>
    <col min="9" max="9" width="6.36328125" customWidth="1"/>
    <col min="10" max="11" width="6.453125" customWidth="1"/>
    <col min="12" max="12" width="5.81640625" customWidth="1"/>
    <col min="13" max="14" width="6.453125" customWidth="1"/>
    <col min="15" max="15" width="6.1796875" customWidth="1"/>
    <col min="16" max="16" width="6.36328125" customWidth="1"/>
    <col min="17" max="20" width="6.453125" customWidth="1"/>
    <col min="21" max="21" width="6.6328125" customWidth="1"/>
    <col min="22" max="22" width="6.36328125" customWidth="1"/>
    <col min="23" max="23" width="6.453125" customWidth="1"/>
    <col min="24" max="24" width="9.36328125" customWidth="1"/>
    <col min="25" max="25" width="9.453125" customWidth="1"/>
    <col min="26" max="26" width="9.36328125" customWidth="1"/>
    <col min="27" max="27" width="8.6328125" customWidth="1"/>
    <col min="28" max="28" width="15.36328125" customWidth="1"/>
    <col min="29" max="29" width="14" customWidth="1"/>
    <col min="30" max="30" width="7.453125" customWidth="1"/>
    <col min="31" max="31" width="17.6328125" customWidth="1"/>
    <col min="32" max="35" width="7.453125" customWidth="1"/>
  </cols>
  <sheetData>
    <row r="1" spans="1:35" ht="15.75" customHeight="1">
      <c r="A1" s="1"/>
      <c r="B1" s="2"/>
      <c r="C1" s="3">
        <v>45627</v>
      </c>
      <c r="D1" s="4"/>
      <c r="E1" s="5"/>
      <c r="F1" s="5"/>
      <c r="G1" s="5"/>
      <c r="H1" s="5"/>
      <c r="I1" s="5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7"/>
      <c r="AB1" s="5"/>
      <c r="AC1" s="8"/>
    </row>
    <row r="2" spans="1:35" ht="15" customHeight="1">
      <c r="A2" s="9" t="s">
        <v>0</v>
      </c>
      <c r="B2" s="10"/>
      <c r="C2" s="10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2"/>
      <c r="AB2" s="13"/>
      <c r="AC2" s="8"/>
    </row>
    <row r="3" spans="1:35" ht="35.25" customHeight="1">
      <c r="A3" s="263" t="s">
        <v>1</v>
      </c>
      <c r="B3" s="263" t="s">
        <v>2</v>
      </c>
      <c r="C3" s="263" t="s">
        <v>3</v>
      </c>
      <c r="D3" s="263" t="s">
        <v>4</v>
      </c>
      <c r="E3" s="268" t="s">
        <v>5</v>
      </c>
      <c r="F3" s="269"/>
      <c r="G3" s="269"/>
      <c r="H3" s="270"/>
      <c r="I3" s="14">
        <f>C1</f>
        <v>45627</v>
      </c>
      <c r="J3" s="14">
        <f t="shared" ref="J3:W3" si="0">I3+1</f>
        <v>45628</v>
      </c>
      <c r="K3" s="14">
        <f t="shared" si="0"/>
        <v>45629</v>
      </c>
      <c r="L3" s="14">
        <f t="shared" si="0"/>
        <v>45630</v>
      </c>
      <c r="M3" s="14">
        <f t="shared" si="0"/>
        <v>45631</v>
      </c>
      <c r="N3" s="14">
        <f t="shared" si="0"/>
        <v>45632</v>
      </c>
      <c r="O3" s="14">
        <f t="shared" si="0"/>
        <v>45633</v>
      </c>
      <c r="P3" s="14">
        <f t="shared" si="0"/>
        <v>45634</v>
      </c>
      <c r="Q3" s="14">
        <f t="shared" si="0"/>
        <v>45635</v>
      </c>
      <c r="R3" s="14">
        <f t="shared" si="0"/>
        <v>45636</v>
      </c>
      <c r="S3" s="14">
        <f t="shared" si="0"/>
        <v>45637</v>
      </c>
      <c r="T3" s="14">
        <f t="shared" si="0"/>
        <v>45638</v>
      </c>
      <c r="U3" s="14">
        <f t="shared" si="0"/>
        <v>45639</v>
      </c>
      <c r="V3" s="14">
        <f t="shared" si="0"/>
        <v>45640</v>
      </c>
      <c r="W3" s="14">
        <f t="shared" si="0"/>
        <v>45641</v>
      </c>
      <c r="X3" s="263" t="s">
        <v>6</v>
      </c>
      <c r="Y3" s="263" t="s">
        <v>7</v>
      </c>
      <c r="Z3" s="13"/>
      <c r="AA3" s="15"/>
      <c r="AB3" s="15"/>
    </row>
    <row r="4" spans="1:35" ht="26.25" customHeight="1">
      <c r="A4" s="264"/>
      <c r="B4" s="264"/>
      <c r="C4" s="264"/>
      <c r="D4" s="264"/>
      <c r="E4" s="16" t="s">
        <v>33</v>
      </c>
      <c r="F4" s="17" t="s">
        <v>34</v>
      </c>
      <c r="G4" s="18" t="s">
        <v>35</v>
      </c>
      <c r="H4" s="19" t="s">
        <v>36</v>
      </c>
      <c r="I4" s="20" t="str">
        <f t="shared" ref="I4:W4" si="1">IF(I3="","",TEXT(WEEKDAY(I3), "ddd"))</f>
        <v>Sun</v>
      </c>
      <c r="J4" s="21" t="str">
        <f t="shared" si="1"/>
        <v>Mon</v>
      </c>
      <c r="K4" s="21" t="str">
        <f t="shared" si="1"/>
        <v>Tue</v>
      </c>
      <c r="L4" s="22" t="str">
        <f t="shared" si="1"/>
        <v>Wed</v>
      </c>
      <c r="M4" s="22" t="str">
        <f t="shared" si="1"/>
        <v>Thu</v>
      </c>
      <c r="N4" s="20" t="str">
        <f t="shared" si="1"/>
        <v>Fri</v>
      </c>
      <c r="O4" s="20" t="str">
        <f t="shared" si="1"/>
        <v>Sat</v>
      </c>
      <c r="P4" s="22" t="str">
        <f t="shared" si="1"/>
        <v>Sun</v>
      </c>
      <c r="Q4" s="22" t="str">
        <f t="shared" si="1"/>
        <v>Mon</v>
      </c>
      <c r="R4" s="22" t="str">
        <f t="shared" si="1"/>
        <v>Tue</v>
      </c>
      <c r="S4" s="22" t="str">
        <f t="shared" si="1"/>
        <v>Wed</v>
      </c>
      <c r="T4" s="22" t="str">
        <f t="shared" si="1"/>
        <v>Thu</v>
      </c>
      <c r="U4" s="22" t="str">
        <f t="shared" si="1"/>
        <v>Fri</v>
      </c>
      <c r="V4" s="22" t="str">
        <f t="shared" si="1"/>
        <v>Sat</v>
      </c>
      <c r="W4" s="22" t="str">
        <f t="shared" si="1"/>
        <v>Sun</v>
      </c>
      <c r="X4" s="264"/>
      <c r="Y4" s="264"/>
      <c r="Z4" s="13"/>
      <c r="AA4" s="23" t="s">
        <v>12</v>
      </c>
      <c r="AB4" s="24"/>
      <c r="AC4" s="25"/>
      <c r="AD4" s="25"/>
      <c r="AE4" s="25"/>
      <c r="AF4" s="25"/>
      <c r="AG4" s="25"/>
    </row>
    <row r="5" spans="1:35" ht="12.75" customHeight="1">
      <c r="A5" s="26" t="s">
        <v>13</v>
      </c>
      <c r="B5" s="27" t="s">
        <v>14</v>
      </c>
      <c r="C5" s="28">
        <v>43437</v>
      </c>
      <c r="D5" s="29">
        <f t="shared" ref="D5:D11" si="2">E5</f>
        <v>80</v>
      </c>
      <c r="E5" s="29">
        <f t="shared" ref="E5:E11" si="3">Y5*8</f>
        <v>80</v>
      </c>
      <c r="F5" s="29">
        <f t="shared" ref="F5:F11" si="4">G5+H5</f>
        <v>80</v>
      </c>
      <c r="G5" s="29">
        <f t="shared" ref="G5:G11" si="5">SUM(I5:W5)</f>
        <v>80</v>
      </c>
      <c r="H5" s="30">
        <v>0</v>
      </c>
      <c r="I5" s="33"/>
      <c r="J5" s="32">
        <v>8</v>
      </c>
      <c r="K5" s="32">
        <v>8</v>
      </c>
      <c r="L5" s="32">
        <v>8</v>
      </c>
      <c r="M5" s="32">
        <v>8</v>
      </c>
      <c r="N5" s="32">
        <v>8</v>
      </c>
      <c r="O5" s="33"/>
      <c r="P5" s="33"/>
      <c r="Q5" s="32">
        <v>8</v>
      </c>
      <c r="R5" s="32">
        <v>8</v>
      </c>
      <c r="S5" s="32">
        <v>8</v>
      </c>
      <c r="T5" s="32">
        <v>8</v>
      </c>
      <c r="U5" s="32">
        <v>8</v>
      </c>
      <c r="V5" s="33"/>
      <c r="W5" s="33"/>
      <c r="X5" s="29">
        <f t="shared" ref="X5:X6" si="6">Y5-COUNTA(I5:W5)</f>
        <v>0</v>
      </c>
      <c r="Y5" s="34">
        <f t="shared" ref="Y5:Y11" si="7">NETWORKDAYS($I$3,$W$3)</f>
        <v>10</v>
      </c>
      <c r="Z5" s="13"/>
      <c r="AA5" s="35" t="s">
        <v>15</v>
      </c>
      <c r="AB5" s="24"/>
      <c r="AC5" s="25"/>
      <c r="AD5" s="25"/>
      <c r="AE5" s="25"/>
      <c r="AF5" s="25"/>
      <c r="AG5" s="25"/>
      <c r="AH5" s="36"/>
      <c r="AI5" s="36"/>
    </row>
    <row r="6" spans="1:35" ht="12.75" customHeight="1">
      <c r="A6" s="26" t="s">
        <v>37</v>
      </c>
      <c r="B6" s="27" t="s">
        <v>14</v>
      </c>
      <c r="C6" s="28">
        <v>42380</v>
      </c>
      <c r="D6" s="29">
        <f t="shared" si="2"/>
        <v>80</v>
      </c>
      <c r="E6" s="29">
        <f t="shared" si="3"/>
        <v>80</v>
      </c>
      <c r="F6" s="29">
        <f t="shared" si="4"/>
        <v>40</v>
      </c>
      <c r="G6" s="29">
        <f t="shared" si="5"/>
        <v>40</v>
      </c>
      <c r="H6" s="30">
        <v>0</v>
      </c>
      <c r="I6" s="33"/>
      <c r="J6" s="32">
        <v>4</v>
      </c>
      <c r="K6" s="32">
        <v>4</v>
      </c>
      <c r="L6" s="32">
        <v>4</v>
      </c>
      <c r="M6" s="32">
        <v>4</v>
      </c>
      <c r="N6" s="32">
        <v>4</v>
      </c>
      <c r="O6" s="33"/>
      <c r="P6" s="33"/>
      <c r="Q6" s="32">
        <v>4</v>
      </c>
      <c r="R6" s="32">
        <v>4</v>
      </c>
      <c r="S6" s="32">
        <v>4</v>
      </c>
      <c r="T6" s="32">
        <v>4</v>
      </c>
      <c r="U6" s="32">
        <v>4</v>
      </c>
      <c r="V6" s="33"/>
      <c r="W6" s="33"/>
      <c r="X6" s="29">
        <f t="shared" si="6"/>
        <v>0</v>
      </c>
      <c r="Y6" s="34">
        <f t="shared" si="7"/>
        <v>10</v>
      </c>
      <c r="Z6" s="13"/>
      <c r="AA6" s="102" t="s">
        <v>6</v>
      </c>
      <c r="AB6" s="24"/>
      <c r="AC6" s="25"/>
      <c r="AD6" s="25"/>
      <c r="AE6" s="25"/>
      <c r="AF6" s="25"/>
      <c r="AG6" s="25"/>
      <c r="AH6" s="36"/>
      <c r="AI6" s="36"/>
    </row>
    <row r="7" spans="1:35" ht="12.75" customHeight="1">
      <c r="A7" s="26" t="s">
        <v>16</v>
      </c>
      <c r="B7" s="27" t="s">
        <v>14</v>
      </c>
      <c r="C7" s="28">
        <v>45028</v>
      </c>
      <c r="D7" s="29">
        <f t="shared" si="2"/>
        <v>80</v>
      </c>
      <c r="E7" s="29">
        <f t="shared" si="3"/>
        <v>80</v>
      </c>
      <c r="F7" s="29">
        <f t="shared" si="4"/>
        <v>48</v>
      </c>
      <c r="G7" s="29">
        <f t="shared" si="5"/>
        <v>48</v>
      </c>
      <c r="H7" s="30">
        <v>0</v>
      </c>
      <c r="I7" s="33"/>
      <c r="J7" s="197"/>
      <c r="K7" s="197"/>
      <c r="L7" s="197"/>
      <c r="M7" s="197"/>
      <c r="N7" s="32">
        <v>8</v>
      </c>
      <c r="O7" s="33"/>
      <c r="P7" s="33"/>
      <c r="Q7" s="32">
        <v>8</v>
      </c>
      <c r="R7" s="32">
        <v>8</v>
      </c>
      <c r="S7" s="32">
        <v>8</v>
      </c>
      <c r="T7" s="32">
        <v>8</v>
      </c>
      <c r="U7" s="32">
        <v>8</v>
      </c>
      <c r="V7" s="33"/>
      <c r="W7" s="33"/>
      <c r="X7" s="29">
        <v>4</v>
      </c>
      <c r="Y7" s="34">
        <f t="shared" si="7"/>
        <v>10</v>
      </c>
      <c r="Z7" s="13"/>
      <c r="AA7" s="37"/>
      <c r="AB7" s="24"/>
      <c r="AC7" s="25"/>
      <c r="AD7" s="25"/>
      <c r="AE7" s="25"/>
      <c r="AF7" s="25"/>
      <c r="AG7" s="25"/>
      <c r="AH7" s="36"/>
      <c r="AI7" s="36"/>
    </row>
    <row r="8" spans="1:35" ht="12.75" customHeight="1">
      <c r="A8" s="26" t="s">
        <v>17</v>
      </c>
      <c r="B8" s="27" t="s">
        <v>14</v>
      </c>
      <c r="C8" s="28">
        <v>43395</v>
      </c>
      <c r="D8" s="29">
        <f t="shared" si="2"/>
        <v>80</v>
      </c>
      <c r="E8" s="29">
        <f t="shared" si="3"/>
        <v>80</v>
      </c>
      <c r="F8" s="29">
        <f t="shared" si="4"/>
        <v>80</v>
      </c>
      <c r="G8" s="29">
        <f t="shared" si="5"/>
        <v>80</v>
      </c>
      <c r="H8" s="30">
        <v>0</v>
      </c>
      <c r="I8" s="33"/>
      <c r="J8" s="32">
        <v>8</v>
      </c>
      <c r="K8" s="32">
        <v>8</v>
      </c>
      <c r="L8" s="32">
        <v>8</v>
      </c>
      <c r="M8" s="32">
        <v>8</v>
      </c>
      <c r="N8" s="32">
        <v>8</v>
      </c>
      <c r="O8" s="33"/>
      <c r="P8" s="33"/>
      <c r="Q8" s="32">
        <v>8</v>
      </c>
      <c r="R8" s="32">
        <v>8</v>
      </c>
      <c r="S8" s="32">
        <v>8</v>
      </c>
      <c r="T8" s="32">
        <v>8</v>
      </c>
      <c r="U8" s="32">
        <v>8</v>
      </c>
      <c r="V8" s="33"/>
      <c r="W8" s="33"/>
      <c r="X8" s="29">
        <f t="shared" ref="X8:X15" si="8">Y8-COUNTA(I8:W8)</f>
        <v>0</v>
      </c>
      <c r="Y8" s="34">
        <f t="shared" si="7"/>
        <v>10</v>
      </c>
      <c r="Z8" s="13"/>
      <c r="AA8" s="15"/>
      <c r="AB8" s="24"/>
      <c r="AC8" s="25"/>
      <c r="AD8" s="25"/>
      <c r="AE8" s="25"/>
      <c r="AF8" s="25"/>
      <c r="AG8" s="25"/>
      <c r="AH8" s="36"/>
      <c r="AI8" s="36"/>
    </row>
    <row r="9" spans="1:35" ht="12.75" customHeight="1">
      <c r="A9" s="26" t="s">
        <v>19</v>
      </c>
      <c r="B9" s="27" t="s">
        <v>14</v>
      </c>
      <c r="C9" s="39">
        <v>43741</v>
      </c>
      <c r="D9" s="29">
        <f t="shared" si="2"/>
        <v>80</v>
      </c>
      <c r="E9" s="29">
        <f t="shared" si="3"/>
        <v>80</v>
      </c>
      <c r="F9" s="29">
        <f t="shared" si="4"/>
        <v>80</v>
      </c>
      <c r="G9" s="29">
        <f t="shared" si="5"/>
        <v>80</v>
      </c>
      <c r="H9" s="30">
        <v>0</v>
      </c>
      <c r="I9" s="33"/>
      <c r="J9" s="32">
        <v>8</v>
      </c>
      <c r="K9" s="32">
        <v>8</v>
      </c>
      <c r="L9" s="32">
        <v>8</v>
      </c>
      <c r="M9" s="32">
        <v>8</v>
      </c>
      <c r="N9" s="32">
        <v>8</v>
      </c>
      <c r="O9" s="33"/>
      <c r="P9" s="33"/>
      <c r="Q9" s="32">
        <v>8</v>
      </c>
      <c r="R9" s="32">
        <v>8</v>
      </c>
      <c r="S9" s="32">
        <v>8</v>
      </c>
      <c r="T9" s="32">
        <v>8</v>
      </c>
      <c r="U9" s="32">
        <v>8</v>
      </c>
      <c r="V9" s="33"/>
      <c r="W9" s="33"/>
      <c r="X9" s="29">
        <f t="shared" si="8"/>
        <v>0</v>
      </c>
      <c r="Y9" s="34">
        <f t="shared" si="7"/>
        <v>10</v>
      </c>
      <c r="Z9" s="13"/>
      <c r="AA9" s="15"/>
      <c r="AB9" s="24"/>
      <c r="AC9" s="25"/>
      <c r="AD9" s="25"/>
      <c r="AE9" s="25"/>
      <c r="AF9" s="25"/>
      <c r="AG9" s="25"/>
      <c r="AH9" s="36"/>
      <c r="AI9" s="36"/>
    </row>
    <row r="10" spans="1:35" ht="12.75" customHeight="1">
      <c r="A10" s="40" t="s">
        <v>20</v>
      </c>
      <c r="B10" s="27" t="s">
        <v>14</v>
      </c>
      <c r="C10" s="39">
        <v>43731</v>
      </c>
      <c r="D10" s="29">
        <f t="shared" si="2"/>
        <v>80</v>
      </c>
      <c r="E10" s="29">
        <f t="shared" si="3"/>
        <v>80</v>
      </c>
      <c r="F10" s="29">
        <f t="shared" si="4"/>
        <v>80</v>
      </c>
      <c r="G10" s="29">
        <f t="shared" si="5"/>
        <v>80</v>
      </c>
      <c r="H10" s="30">
        <v>0</v>
      </c>
      <c r="I10" s="33"/>
      <c r="J10" s="32">
        <v>8</v>
      </c>
      <c r="K10" s="32">
        <v>8</v>
      </c>
      <c r="L10" s="32">
        <v>8</v>
      </c>
      <c r="M10" s="32">
        <v>8</v>
      </c>
      <c r="N10" s="32">
        <v>8</v>
      </c>
      <c r="O10" s="33"/>
      <c r="P10" s="33"/>
      <c r="Q10" s="32">
        <v>8</v>
      </c>
      <c r="R10" s="32">
        <v>8</v>
      </c>
      <c r="S10" s="32">
        <v>8</v>
      </c>
      <c r="T10" s="198">
        <v>8</v>
      </c>
      <c r="U10" s="32">
        <v>8</v>
      </c>
      <c r="V10" s="33"/>
      <c r="W10" s="33"/>
      <c r="X10" s="29">
        <f t="shared" si="8"/>
        <v>0</v>
      </c>
      <c r="Y10" s="34">
        <f t="shared" si="7"/>
        <v>10</v>
      </c>
      <c r="Z10" s="13"/>
      <c r="AA10" s="15"/>
      <c r="AB10" s="24"/>
      <c r="AC10" s="25"/>
      <c r="AD10" s="25"/>
      <c r="AE10" s="25"/>
      <c r="AF10" s="25"/>
      <c r="AG10" s="25"/>
    </row>
    <row r="11" spans="1:35" ht="12.75" customHeight="1">
      <c r="A11" s="40" t="s">
        <v>21</v>
      </c>
      <c r="B11" s="41" t="s">
        <v>14</v>
      </c>
      <c r="C11" s="39">
        <v>45628</v>
      </c>
      <c r="D11" s="29">
        <f t="shared" si="2"/>
        <v>80</v>
      </c>
      <c r="E11" s="29">
        <f t="shared" si="3"/>
        <v>80</v>
      </c>
      <c r="F11" s="29">
        <f t="shared" si="4"/>
        <v>36</v>
      </c>
      <c r="G11" s="29">
        <f t="shared" si="5"/>
        <v>36</v>
      </c>
      <c r="H11" s="30">
        <v>0</v>
      </c>
      <c r="I11" s="33"/>
      <c r="J11" s="32">
        <v>4</v>
      </c>
      <c r="K11" s="32">
        <v>4</v>
      </c>
      <c r="L11" s="32">
        <v>4</v>
      </c>
      <c r="M11" s="32">
        <v>4</v>
      </c>
      <c r="N11" s="32">
        <v>4</v>
      </c>
      <c r="O11" s="33"/>
      <c r="P11" s="33"/>
      <c r="Q11" s="32">
        <v>4</v>
      </c>
      <c r="R11" s="32">
        <v>4</v>
      </c>
      <c r="S11" s="103">
        <v>4</v>
      </c>
      <c r="T11" s="197"/>
      <c r="U11" s="43">
        <v>4</v>
      </c>
      <c r="V11" s="33"/>
      <c r="W11" s="33"/>
      <c r="X11" s="29">
        <f t="shared" si="8"/>
        <v>1</v>
      </c>
      <c r="Y11" s="34">
        <f t="shared" si="7"/>
        <v>10</v>
      </c>
      <c r="Z11" s="13"/>
      <c r="AA11" s="15"/>
      <c r="AB11" s="24"/>
      <c r="AC11" s="25"/>
      <c r="AD11" s="25"/>
      <c r="AE11" s="25"/>
      <c r="AF11" s="25"/>
      <c r="AG11" s="25"/>
    </row>
    <row r="12" spans="1:35" ht="12.75" hidden="1" customHeight="1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104"/>
      <c r="U12" s="41"/>
      <c r="V12" s="41"/>
      <c r="W12" s="41"/>
      <c r="X12" s="29">
        <f t="shared" si="8"/>
        <v>10</v>
      </c>
      <c r="Y12" s="30">
        <f t="shared" ref="Y12:Y15" si="9">NETWORKDAYS($I$3,$W$3,$W$3)</f>
        <v>10</v>
      </c>
      <c r="Z12" s="13"/>
      <c r="AA12" s="15"/>
      <c r="AB12" s="24"/>
      <c r="AC12" s="25"/>
      <c r="AD12" s="25"/>
      <c r="AE12" s="25"/>
      <c r="AF12" s="25"/>
      <c r="AG12" s="25"/>
      <c r="AH12" s="36"/>
      <c r="AI12" s="36"/>
    </row>
    <row r="13" spans="1:35" ht="12.75" hidden="1" customHeight="1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29">
        <f t="shared" si="8"/>
        <v>10</v>
      </c>
      <c r="Y13" s="30">
        <f t="shared" si="9"/>
        <v>10</v>
      </c>
      <c r="Z13" s="13"/>
      <c r="AA13" s="15"/>
      <c r="AB13" s="24"/>
      <c r="AC13" s="25"/>
      <c r="AD13" s="25"/>
      <c r="AE13" s="25"/>
      <c r="AF13" s="25"/>
      <c r="AG13" s="25"/>
      <c r="AH13" s="36"/>
      <c r="AI13" s="36"/>
    </row>
    <row r="14" spans="1:35" ht="12.75" hidden="1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29">
        <f t="shared" si="8"/>
        <v>10</v>
      </c>
      <c r="Y14" s="30">
        <f t="shared" si="9"/>
        <v>10</v>
      </c>
      <c r="Z14" s="13"/>
      <c r="AA14" s="15"/>
      <c r="AB14" s="24"/>
      <c r="AC14" s="25"/>
      <c r="AD14" s="25"/>
      <c r="AE14" s="25"/>
      <c r="AF14" s="25"/>
      <c r="AG14" s="25"/>
      <c r="AH14" s="36"/>
      <c r="AI14" s="36"/>
    </row>
    <row r="15" spans="1:35" ht="12.75" hidden="1" customHeight="1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29">
        <f t="shared" si="8"/>
        <v>10</v>
      </c>
      <c r="Y15" s="30">
        <f t="shared" si="9"/>
        <v>10</v>
      </c>
      <c r="Z15" s="13"/>
      <c r="AA15" s="15"/>
      <c r="AB15" s="24"/>
      <c r="AC15" s="25"/>
      <c r="AD15" s="25"/>
      <c r="AE15" s="25"/>
      <c r="AF15" s="25"/>
      <c r="AG15" s="25"/>
      <c r="AH15" s="36"/>
      <c r="AI15" s="36"/>
    </row>
    <row r="16" spans="1:35" ht="12.75" customHeight="1">
      <c r="A16" s="193"/>
      <c r="B16" s="193"/>
      <c r="C16" s="193"/>
      <c r="D16" s="194">
        <f t="shared" ref="D16:W16" si="10">SUM(D5:D15)</f>
        <v>560</v>
      </c>
      <c r="E16" s="194">
        <f t="shared" si="10"/>
        <v>560</v>
      </c>
      <c r="F16" s="194">
        <f t="shared" si="10"/>
        <v>444</v>
      </c>
      <c r="G16" s="194">
        <f t="shared" si="10"/>
        <v>444</v>
      </c>
      <c r="H16" s="194">
        <f t="shared" si="10"/>
        <v>0</v>
      </c>
      <c r="I16" s="194">
        <f t="shared" si="10"/>
        <v>0</v>
      </c>
      <c r="J16" s="194">
        <f t="shared" si="10"/>
        <v>40</v>
      </c>
      <c r="K16" s="194">
        <f t="shared" si="10"/>
        <v>40</v>
      </c>
      <c r="L16" s="194">
        <f t="shared" si="10"/>
        <v>40</v>
      </c>
      <c r="M16" s="194">
        <f t="shared" si="10"/>
        <v>40</v>
      </c>
      <c r="N16" s="194">
        <f t="shared" si="10"/>
        <v>48</v>
      </c>
      <c r="O16" s="194">
        <f t="shared" si="10"/>
        <v>0</v>
      </c>
      <c r="P16" s="194">
        <f t="shared" si="10"/>
        <v>0</v>
      </c>
      <c r="Q16" s="194">
        <f t="shared" si="10"/>
        <v>48</v>
      </c>
      <c r="R16" s="194">
        <f t="shared" si="10"/>
        <v>48</v>
      </c>
      <c r="S16" s="194">
        <f t="shared" si="10"/>
        <v>48</v>
      </c>
      <c r="T16" s="194">
        <f t="shared" si="10"/>
        <v>44</v>
      </c>
      <c r="U16" s="194">
        <f t="shared" si="10"/>
        <v>48</v>
      </c>
      <c r="V16" s="194">
        <f t="shared" si="10"/>
        <v>0</v>
      </c>
      <c r="W16" s="194">
        <f t="shared" si="10"/>
        <v>0</v>
      </c>
      <c r="X16" s="194"/>
      <c r="Y16" s="194"/>
      <c r="Z16" s="13"/>
      <c r="AA16" s="15"/>
      <c r="AB16" s="24"/>
      <c r="AC16" s="25"/>
      <c r="AD16" s="25"/>
      <c r="AE16" s="25"/>
      <c r="AF16" s="25"/>
      <c r="AG16" s="25"/>
    </row>
    <row r="17" spans="1:35" ht="15" customHeight="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5"/>
      <c r="AB17" s="15"/>
      <c r="AC17" s="8"/>
      <c r="AD17" s="25"/>
      <c r="AE17" s="25"/>
      <c r="AF17" s="25"/>
      <c r="AG17" s="25"/>
      <c r="AH17" s="25"/>
      <c r="AI17" s="25"/>
    </row>
    <row r="18" spans="1:35" ht="15" customHeight="1">
      <c r="A18" s="9" t="s">
        <v>22</v>
      </c>
      <c r="B18" s="10"/>
      <c r="C18" s="10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5"/>
      <c r="AB18" s="13"/>
      <c r="AC18" s="8"/>
    </row>
    <row r="19" spans="1:35" ht="35.25" customHeight="1">
      <c r="A19" s="263" t="s">
        <v>1</v>
      </c>
      <c r="B19" s="263" t="s">
        <v>2</v>
      </c>
      <c r="C19" s="263" t="s">
        <v>3</v>
      </c>
      <c r="D19" s="263" t="s">
        <v>4</v>
      </c>
      <c r="E19" s="268" t="s">
        <v>5</v>
      </c>
      <c r="F19" s="269"/>
      <c r="G19" s="269"/>
      <c r="H19" s="270"/>
      <c r="I19" s="44">
        <f>W3+1</f>
        <v>45642</v>
      </c>
      <c r="J19" s="44">
        <f t="shared" ref="J19:X19" si="11">I19+1</f>
        <v>45643</v>
      </c>
      <c r="K19" s="44">
        <f t="shared" si="11"/>
        <v>45644</v>
      </c>
      <c r="L19" s="14">
        <f t="shared" si="11"/>
        <v>45645</v>
      </c>
      <c r="M19" s="44">
        <f t="shared" si="11"/>
        <v>45646</v>
      </c>
      <c r="N19" s="44">
        <f t="shared" si="11"/>
        <v>45647</v>
      </c>
      <c r="O19" s="44">
        <f t="shared" si="11"/>
        <v>45648</v>
      </c>
      <c r="P19" s="44">
        <f t="shared" si="11"/>
        <v>45649</v>
      </c>
      <c r="Q19" s="44">
        <f t="shared" si="11"/>
        <v>45650</v>
      </c>
      <c r="R19" s="44">
        <f t="shared" si="11"/>
        <v>45651</v>
      </c>
      <c r="S19" s="44">
        <f t="shared" si="11"/>
        <v>45652</v>
      </c>
      <c r="T19" s="44">
        <f t="shared" si="11"/>
        <v>45653</v>
      </c>
      <c r="U19" s="44">
        <f t="shared" si="11"/>
        <v>45654</v>
      </c>
      <c r="V19" s="44">
        <f t="shared" si="11"/>
        <v>45655</v>
      </c>
      <c r="W19" s="44">
        <f t="shared" si="11"/>
        <v>45656</v>
      </c>
      <c r="X19" s="44">
        <f t="shared" si="11"/>
        <v>45657</v>
      </c>
      <c r="Y19" s="263" t="s">
        <v>6</v>
      </c>
      <c r="Z19" s="263" t="s">
        <v>7</v>
      </c>
      <c r="AA19" s="13"/>
      <c r="AB19" s="15"/>
    </row>
    <row r="20" spans="1:35" ht="26.25" customHeight="1">
      <c r="A20" s="264"/>
      <c r="B20" s="264"/>
      <c r="C20" s="264"/>
      <c r="D20" s="264"/>
      <c r="E20" s="16" t="s">
        <v>33</v>
      </c>
      <c r="F20" s="17" t="s">
        <v>34</v>
      </c>
      <c r="G20" s="18" t="s">
        <v>35</v>
      </c>
      <c r="H20" s="18" t="s">
        <v>36</v>
      </c>
      <c r="I20" s="22" t="str">
        <f t="shared" ref="I20:X20" si="12">IF(I19="","",TEXT(WEEKDAY(I19), "ddd"))</f>
        <v>Mon</v>
      </c>
      <c r="J20" s="22" t="str">
        <f t="shared" si="12"/>
        <v>Tue</v>
      </c>
      <c r="K20" s="22" t="str">
        <f t="shared" si="12"/>
        <v>Wed</v>
      </c>
      <c r="L20" s="22" t="str">
        <f t="shared" si="12"/>
        <v>Thu</v>
      </c>
      <c r="M20" s="22" t="str">
        <f t="shared" si="12"/>
        <v>Fri</v>
      </c>
      <c r="N20" s="22" t="str">
        <f t="shared" si="12"/>
        <v>Sat</v>
      </c>
      <c r="O20" s="22" t="str">
        <f t="shared" si="12"/>
        <v>Sun</v>
      </c>
      <c r="P20" s="21" t="str">
        <f t="shared" si="12"/>
        <v>Mon</v>
      </c>
      <c r="Q20" s="21" t="str">
        <f t="shared" si="12"/>
        <v>Tue</v>
      </c>
      <c r="R20" s="22" t="str">
        <f t="shared" si="12"/>
        <v>Wed</v>
      </c>
      <c r="S20" s="22" t="str">
        <f t="shared" si="12"/>
        <v>Thu</v>
      </c>
      <c r="T20" s="22" t="str">
        <f t="shared" si="12"/>
        <v>Fri</v>
      </c>
      <c r="U20" s="22" t="str">
        <f t="shared" si="12"/>
        <v>Sat</v>
      </c>
      <c r="V20" s="22" t="str">
        <f t="shared" si="12"/>
        <v>Sun</v>
      </c>
      <c r="W20" s="22" t="str">
        <f t="shared" si="12"/>
        <v>Mon</v>
      </c>
      <c r="X20" s="22" t="str">
        <f t="shared" si="12"/>
        <v>Tue</v>
      </c>
      <c r="Y20" s="264"/>
      <c r="Z20" s="264"/>
      <c r="AA20" s="13"/>
      <c r="AB20" s="15"/>
    </row>
    <row r="21" spans="1:35" ht="12.75" customHeight="1">
      <c r="A21" s="45" t="s">
        <v>13</v>
      </c>
      <c r="B21" s="27" t="s">
        <v>14</v>
      </c>
      <c r="C21" s="28">
        <v>43437</v>
      </c>
      <c r="D21" s="29">
        <f t="shared" ref="D21:D27" si="13">E21</f>
        <v>88</v>
      </c>
      <c r="E21" s="29">
        <f t="shared" ref="E21:E27" si="14">Z21*8</f>
        <v>88</v>
      </c>
      <c r="F21" s="29">
        <f t="shared" ref="F21:F27" si="15">G21+H21</f>
        <v>64</v>
      </c>
      <c r="G21" s="29">
        <f t="shared" ref="G21:G27" si="16">SUM(I21:X21)</f>
        <v>64</v>
      </c>
      <c r="H21" s="30">
        <v>0</v>
      </c>
      <c r="I21" s="32">
        <v>8</v>
      </c>
      <c r="J21" s="32">
        <v>8</v>
      </c>
      <c r="K21" s="32">
        <v>8</v>
      </c>
      <c r="L21" s="38"/>
      <c r="M21" s="38"/>
      <c r="N21" s="33"/>
      <c r="O21" s="33"/>
      <c r="P21" s="32">
        <v>8</v>
      </c>
      <c r="Q21" s="38"/>
      <c r="R21" s="31"/>
      <c r="S21" s="32">
        <v>8</v>
      </c>
      <c r="T21" s="32">
        <v>8</v>
      </c>
      <c r="U21" s="33"/>
      <c r="V21" s="100"/>
      <c r="W21" s="32">
        <v>8</v>
      </c>
      <c r="X21" s="32">
        <v>8</v>
      </c>
      <c r="Y21" s="29">
        <f t="shared" ref="Y21:Y25" si="17">Z21-COUNTA(I21:X21)</f>
        <v>3</v>
      </c>
      <c r="Z21" s="34">
        <f t="shared" ref="Z21:Z27" si="18">NETWORKDAYS($I$19,$X$19,$R$19)</f>
        <v>11</v>
      </c>
      <c r="AA21" s="13"/>
      <c r="AB21" s="15"/>
      <c r="AC21" s="36"/>
      <c r="AD21" s="36"/>
      <c r="AE21" s="36"/>
      <c r="AF21" s="36"/>
      <c r="AG21" s="36"/>
      <c r="AH21" s="36"/>
      <c r="AI21" s="36"/>
    </row>
    <row r="22" spans="1:35" ht="12.75" customHeight="1">
      <c r="A22" s="45" t="s">
        <v>37</v>
      </c>
      <c r="B22" s="27" t="s">
        <v>14</v>
      </c>
      <c r="C22" s="28">
        <v>42380</v>
      </c>
      <c r="D22" s="29">
        <f t="shared" si="13"/>
        <v>88</v>
      </c>
      <c r="E22" s="29">
        <f t="shared" si="14"/>
        <v>88</v>
      </c>
      <c r="F22" s="29">
        <f t="shared" si="15"/>
        <v>20</v>
      </c>
      <c r="G22" s="29">
        <f t="shared" si="16"/>
        <v>20</v>
      </c>
      <c r="H22" s="30">
        <v>0</v>
      </c>
      <c r="I22" s="32">
        <v>4</v>
      </c>
      <c r="J22" s="32">
        <v>4</v>
      </c>
      <c r="K22" s="32">
        <v>4</v>
      </c>
      <c r="L22" s="32">
        <v>4</v>
      </c>
      <c r="M22" s="32">
        <v>4</v>
      </c>
      <c r="N22" s="33"/>
      <c r="O22" s="33"/>
      <c r="P22" s="38"/>
      <c r="Q22" s="38"/>
      <c r="R22" s="31"/>
      <c r="S22" s="38"/>
      <c r="T22" s="38"/>
      <c r="U22" s="33"/>
      <c r="V22" s="100"/>
      <c r="W22" s="38"/>
      <c r="X22" s="38"/>
      <c r="Y22" s="29">
        <f t="shared" si="17"/>
        <v>6</v>
      </c>
      <c r="Z22" s="34">
        <f t="shared" si="18"/>
        <v>11</v>
      </c>
      <c r="AA22" s="13"/>
      <c r="AB22" s="15"/>
      <c r="AC22" s="36"/>
      <c r="AD22" s="36"/>
      <c r="AE22" s="36"/>
      <c r="AF22" s="36"/>
      <c r="AG22" s="36"/>
      <c r="AH22" s="36"/>
      <c r="AI22" s="36"/>
    </row>
    <row r="23" spans="1:35" ht="12.75" customHeight="1">
      <c r="A23" s="45" t="s">
        <v>16</v>
      </c>
      <c r="B23" s="27" t="s">
        <v>14</v>
      </c>
      <c r="C23" s="28">
        <v>45028</v>
      </c>
      <c r="D23" s="29">
        <f t="shared" si="13"/>
        <v>88</v>
      </c>
      <c r="E23" s="29">
        <f t="shared" si="14"/>
        <v>88</v>
      </c>
      <c r="F23" s="29">
        <f t="shared" si="15"/>
        <v>88</v>
      </c>
      <c r="G23" s="29">
        <f t="shared" si="16"/>
        <v>88</v>
      </c>
      <c r="H23" s="30">
        <v>0</v>
      </c>
      <c r="I23" s="32">
        <v>8</v>
      </c>
      <c r="J23" s="32">
        <v>8</v>
      </c>
      <c r="K23" s="32">
        <v>8</v>
      </c>
      <c r="L23" s="32">
        <v>8</v>
      </c>
      <c r="M23" s="32">
        <v>8</v>
      </c>
      <c r="N23" s="33"/>
      <c r="O23" s="33"/>
      <c r="P23" s="32">
        <v>8</v>
      </c>
      <c r="Q23" s="32">
        <v>8</v>
      </c>
      <c r="R23" s="31"/>
      <c r="S23" s="32">
        <v>8</v>
      </c>
      <c r="T23" s="32">
        <v>8</v>
      </c>
      <c r="U23" s="33"/>
      <c r="V23" s="100"/>
      <c r="W23" s="32">
        <v>8</v>
      </c>
      <c r="X23" s="32">
        <v>8</v>
      </c>
      <c r="Y23" s="29">
        <f t="shared" si="17"/>
        <v>0</v>
      </c>
      <c r="Z23" s="34">
        <f t="shared" si="18"/>
        <v>11</v>
      </c>
      <c r="AA23" s="13"/>
      <c r="AB23" s="15"/>
      <c r="AC23" s="36"/>
      <c r="AD23" s="36"/>
      <c r="AE23" s="36"/>
      <c r="AF23" s="36"/>
      <c r="AG23" s="36"/>
      <c r="AH23" s="36"/>
      <c r="AI23" s="36"/>
    </row>
    <row r="24" spans="1:35" ht="12.75" customHeight="1">
      <c r="A24" s="45" t="s">
        <v>17</v>
      </c>
      <c r="B24" s="27" t="s">
        <v>14</v>
      </c>
      <c r="C24" s="28">
        <v>43395</v>
      </c>
      <c r="D24" s="29">
        <f t="shared" si="13"/>
        <v>88</v>
      </c>
      <c r="E24" s="29">
        <f t="shared" si="14"/>
        <v>88</v>
      </c>
      <c r="F24" s="29">
        <f t="shared" si="15"/>
        <v>88</v>
      </c>
      <c r="G24" s="29">
        <f t="shared" si="16"/>
        <v>88</v>
      </c>
      <c r="H24" s="30">
        <v>0</v>
      </c>
      <c r="I24" s="32">
        <v>8</v>
      </c>
      <c r="J24" s="32">
        <v>8</v>
      </c>
      <c r="K24" s="32">
        <v>8</v>
      </c>
      <c r="L24" s="32">
        <v>8</v>
      </c>
      <c r="M24" s="32">
        <v>8</v>
      </c>
      <c r="N24" s="33"/>
      <c r="O24" s="33"/>
      <c r="P24" s="32">
        <v>8</v>
      </c>
      <c r="Q24" s="32">
        <v>8</v>
      </c>
      <c r="R24" s="31"/>
      <c r="S24" s="32">
        <v>8</v>
      </c>
      <c r="T24" s="32">
        <v>8</v>
      </c>
      <c r="U24" s="33"/>
      <c r="V24" s="100"/>
      <c r="W24" s="32">
        <v>8</v>
      </c>
      <c r="X24" s="32">
        <v>8</v>
      </c>
      <c r="Y24" s="29">
        <f t="shared" si="17"/>
        <v>0</v>
      </c>
      <c r="Z24" s="34">
        <f t="shared" si="18"/>
        <v>11</v>
      </c>
      <c r="AA24" s="13"/>
      <c r="AB24" s="15"/>
      <c r="AC24" s="36"/>
      <c r="AD24" s="36"/>
      <c r="AE24" s="36"/>
      <c r="AF24" s="36"/>
      <c r="AG24" s="36"/>
      <c r="AH24" s="36"/>
      <c r="AI24" s="36"/>
    </row>
    <row r="25" spans="1:35" ht="12.75" customHeight="1">
      <c r="A25" s="26" t="s">
        <v>19</v>
      </c>
      <c r="B25" s="27" t="s">
        <v>14</v>
      </c>
      <c r="C25" s="39">
        <v>43741</v>
      </c>
      <c r="D25" s="29">
        <f t="shared" si="13"/>
        <v>88</v>
      </c>
      <c r="E25" s="29">
        <f t="shared" si="14"/>
        <v>88</v>
      </c>
      <c r="F25" s="29">
        <f t="shared" si="15"/>
        <v>64</v>
      </c>
      <c r="G25" s="29">
        <f t="shared" si="16"/>
        <v>64</v>
      </c>
      <c r="H25" s="30">
        <v>0</v>
      </c>
      <c r="I25" s="32">
        <v>8</v>
      </c>
      <c r="J25" s="32">
        <v>8</v>
      </c>
      <c r="K25" s="32">
        <v>8</v>
      </c>
      <c r="L25" s="32">
        <v>8</v>
      </c>
      <c r="M25" s="32">
        <v>8</v>
      </c>
      <c r="N25" s="33"/>
      <c r="O25" s="33"/>
      <c r="P25" s="32">
        <v>8</v>
      </c>
      <c r="Q25" s="32">
        <v>8</v>
      </c>
      <c r="R25" s="92"/>
      <c r="S25" s="38"/>
      <c r="T25" s="38"/>
      <c r="U25" s="33"/>
      <c r="V25" s="100"/>
      <c r="W25" s="38"/>
      <c r="X25" s="32">
        <v>8</v>
      </c>
      <c r="Y25" s="29">
        <f t="shared" si="17"/>
        <v>3</v>
      </c>
      <c r="Z25" s="34">
        <f t="shared" si="18"/>
        <v>11</v>
      </c>
      <c r="AA25" s="13"/>
      <c r="AB25" s="15"/>
      <c r="AC25" s="36"/>
      <c r="AD25" s="36"/>
      <c r="AE25" s="36"/>
      <c r="AF25" s="36"/>
      <c r="AG25" s="36"/>
      <c r="AH25" s="36"/>
      <c r="AI25" s="36"/>
    </row>
    <row r="26" spans="1:35" ht="12.75" customHeight="1">
      <c r="A26" s="40" t="s">
        <v>20</v>
      </c>
      <c r="B26" s="27" t="s">
        <v>14</v>
      </c>
      <c r="C26" s="39">
        <v>43731</v>
      </c>
      <c r="D26" s="29">
        <f t="shared" si="13"/>
        <v>88</v>
      </c>
      <c r="E26" s="29">
        <f t="shared" si="14"/>
        <v>88</v>
      </c>
      <c r="F26" s="29">
        <f t="shared" si="15"/>
        <v>64</v>
      </c>
      <c r="G26" s="29">
        <f t="shared" si="16"/>
        <v>64</v>
      </c>
      <c r="H26" s="30">
        <v>0</v>
      </c>
      <c r="I26" s="32">
        <v>8</v>
      </c>
      <c r="J26" s="32">
        <v>8</v>
      </c>
      <c r="K26" s="32">
        <v>8</v>
      </c>
      <c r="L26" s="32">
        <v>8</v>
      </c>
      <c r="M26" s="32">
        <v>8</v>
      </c>
      <c r="N26" s="33"/>
      <c r="O26" s="33"/>
      <c r="P26" s="32">
        <v>8</v>
      </c>
      <c r="Q26" s="32">
        <v>8</v>
      </c>
      <c r="R26" s="31"/>
      <c r="S26" s="32">
        <v>8</v>
      </c>
      <c r="T26" s="38">
        <v>0</v>
      </c>
      <c r="U26" s="33"/>
      <c r="V26" s="33"/>
      <c r="W26" s="38">
        <v>0</v>
      </c>
      <c r="X26" s="38">
        <v>0</v>
      </c>
      <c r="Y26" s="29">
        <v>3</v>
      </c>
      <c r="Z26" s="34">
        <f t="shared" si="18"/>
        <v>11</v>
      </c>
      <c r="AA26" s="13"/>
      <c r="AB26" s="15"/>
    </row>
    <row r="27" spans="1:35" ht="12.75" customHeight="1">
      <c r="A27" s="40" t="s">
        <v>21</v>
      </c>
      <c r="B27" s="41" t="s">
        <v>14</v>
      </c>
      <c r="C27" s="39">
        <v>45628</v>
      </c>
      <c r="D27" s="29">
        <f t="shared" si="13"/>
        <v>88</v>
      </c>
      <c r="E27" s="29">
        <f t="shared" si="14"/>
        <v>88</v>
      </c>
      <c r="F27" s="29">
        <f t="shared" si="15"/>
        <v>36</v>
      </c>
      <c r="G27" s="29">
        <f t="shared" si="16"/>
        <v>36</v>
      </c>
      <c r="H27" s="30">
        <v>0</v>
      </c>
      <c r="I27" s="32">
        <v>4</v>
      </c>
      <c r="J27" s="32">
        <v>4</v>
      </c>
      <c r="K27" s="32">
        <v>4</v>
      </c>
      <c r="L27" s="32">
        <v>4</v>
      </c>
      <c r="M27" s="32">
        <v>4</v>
      </c>
      <c r="N27" s="47"/>
      <c r="O27" s="47"/>
      <c r="P27" s="48">
        <v>4</v>
      </c>
      <c r="Q27" s="48">
        <v>4</v>
      </c>
      <c r="R27" s="92"/>
      <c r="S27" s="48">
        <v>4</v>
      </c>
      <c r="T27" s="48">
        <v>4</v>
      </c>
      <c r="U27" s="47"/>
      <c r="V27" s="47"/>
      <c r="W27" s="38"/>
      <c r="X27" s="38"/>
      <c r="Y27" s="29">
        <f>Z27-COUNTA(I27:X27)</f>
        <v>2</v>
      </c>
      <c r="Z27" s="34">
        <f t="shared" si="18"/>
        <v>11</v>
      </c>
      <c r="AA27" s="13"/>
      <c r="AB27" s="15"/>
    </row>
    <row r="28" spans="1:35" ht="12.75" hidden="1" customHeight="1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29"/>
      <c r="Z28" s="30"/>
      <c r="AA28" s="13"/>
      <c r="AB28" s="15"/>
      <c r="AC28" s="36"/>
      <c r="AD28" s="36"/>
      <c r="AE28" s="36"/>
      <c r="AF28" s="36"/>
      <c r="AG28" s="36"/>
      <c r="AH28" s="36"/>
      <c r="AI28" s="36"/>
    </row>
    <row r="29" spans="1:35" ht="12.75" hidden="1" customHeight="1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29"/>
      <c r="Z29" s="30"/>
      <c r="AA29" s="13"/>
      <c r="AB29" s="15"/>
      <c r="AC29" s="36"/>
      <c r="AD29" s="36"/>
      <c r="AE29" s="36"/>
      <c r="AF29" s="36"/>
      <c r="AG29" s="36"/>
      <c r="AH29" s="36"/>
      <c r="AI29" s="36"/>
    </row>
    <row r="30" spans="1:35" ht="12.75" hidden="1" customHeight="1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29"/>
      <c r="Z30" s="30"/>
      <c r="AA30" s="13"/>
      <c r="AB30" s="15"/>
      <c r="AC30" s="36"/>
      <c r="AD30" s="36"/>
      <c r="AE30" s="36"/>
      <c r="AF30" s="36"/>
      <c r="AG30" s="36"/>
      <c r="AH30" s="36"/>
      <c r="AI30" s="36"/>
    </row>
    <row r="31" spans="1:35" ht="12.75" hidden="1" customHeight="1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29"/>
      <c r="Z31" s="30"/>
      <c r="AA31" s="13"/>
      <c r="AB31" s="15"/>
      <c r="AC31" s="36"/>
      <c r="AD31" s="36"/>
      <c r="AE31" s="36"/>
      <c r="AF31" s="36"/>
      <c r="AG31" s="36"/>
      <c r="AH31" s="36"/>
      <c r="AI31" s="36"/>
    </row>
    <row r="32" spans="1:35" ht="12.75" customHeight="1">
      <c r="A32" s="195"/>
      <c r="B32" s="195"/>
      <c r="C32" s="196"/>
      <c r="D32" s="194">
        <f t="shared" ref="D32:U32" si="19">SUM(D21:D31)</f>
        <v>616</v>
      </c>
      <c r="E32" s="194">
        <f t="shared" si="19"/>
        <v>616</v>
      </c>
      <c r="F32" s="194">
        <f t="shared" si="19"/>
        <v>424</v>
      </c>
      <c r="G32" s="194">
        <f t="shared" si="19"/>
        <v>424</v>
      </c>
      <c r="H32" s="194">
        <f t="shared" si="19"/>
        <v>0</v>
      </c>
      <c r="I32" s="194">
        <f t="shared" si="19"/>
        <v>48</v>
      </c>
      <c r="J32" s="194">
        <f t="shared" si="19"/>
        <v>48</v>
      </c>
      <c r="K32" s="194">
        <f t="shared" si="19"/>
        <v>48</v>
      </c>
      <c r="L32" s="194">
        <f t="shared" si="19"/>
        <v>40</v>
      </c>
      <c r="M32" s="194">
        <f t="shared" si="19"/>
        <v>40</v>
      </c>
      <c r="N32" s="194">
        <f t="shared" si="19"/>
        <v>0</v>
      </c>
      <c r="O32" s="194">
        <f t="shared" si="19"/>
        <v>0</v>
      </c>
      <c r="P32" s="194">
        <f t="shared" si="19"/>
        <v>44</v>
      </c>
      <c r="Q32" s="194">
        <f t="shared" si="19"/>
        <v>36</v>
      </c>
      <c r="R32" s="194">
        <f t="shared" si="19"/>
        <v>0</v>
      </c>
      <c r="S32" s="194">
        <f t="shared" si="19"/>
        <v>36</v>
      </c>
      <c r="T32" s="194">
        <f t="shared" si="19"/>
        <v>28</v>
      </c>
      <c r="U32" s="194">
        <f t="shared" si="19"/>
        <v>0</v>
      </c>
      <c r="V32" s="194"/>
      <c r="W32" s="194"/>
      <c r="X32" s="194"/>
      <c r="Y32" s="194"/>
      <c r="Z32" s="194"/>
      <c r="AA32" s="15"/>
      <c r="AB32" s="15"/>
    </row>
    <row r="33" spans="1:35" ht="12.75" customHeight="1">
      <c r="A33" s="49"/>
      <c r="B33" s="49"/>
      <c r="C33" s="50"/>
      <c r="D33" s="51"/>
      <c r="E33" s="52"/>
      <c r="F33" s="52"/>
      <c r="G33" s="52"/>
      <c r="H33" s="11"/>
      <c r="I33" s="53"/>
      <c r="J33" s="53"/>
      <c r="K33" s="53"/>
      <c r="L33" s="53"/>
      <c r="M33" s="53"/>
      <c r="N33" s="53"/>
      <c r="O33" s="15"/>
      <c r="P33" s="15"/>
      <c r="Q33" s="53"/>
      <c r="R33" s="53"/>
      <c r="S33" s="53"/>
      <c r="T33" s="53"/>
      <c r="U33" s="53"/>
      <c r="V33" s="53"/>
      <c r="W33" s="53"/>
      <c r="X33" s="53"/>
      <c r="Y33" s="15"/>
      <c r="Z33" s="15"/>
      <c r="AA33" s="15"/>
      <c r="AB33" s="15"/>
      <c r="AC33" s="8"/>
    </row>
    <row r="34" spans="1:35" ht="12.75" customHeight="1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54"/>
      <c r="AB34" s="13"/>
      <c r="AC34" s="8"/>
    </row>
    <row r="35" spans="1:35" ht="38.25" customHeight="1">
      <c r="A35" s="55" t="s">
        <v>1</v>
      </c>
      <c r="B35" s="56" t="s">
        <v>23</v>
      </c>
      <c r="C35" s="56" t="s">
        <v>24</v>
      </c>
      <c r="D35" s="57" t="s">
        <v>25</v>
      </c>
      <c r="E35" s="15"/>
      <c r="F35" s="13"/>
      <c r="G35" s="13"/>
      <c r="H35" s="13"/>
      <c r="I35" s="13"/>
      <c r="J35" s="13"/>
      <c r="K35" s="13"/>
      <c r="L35" s="11"/>
      <c r="M35" s="11"/>
      <c r="N35" s="11"/>
      <c r="O35" s="11"/>
      <c r="P35" s="11"/>
      <c r="Q35" s="11"/>
      <c r="R35" s="13"/>
      <c r="S35" s="13"/>
      <c r="T35" s="13"/>
      <c r="U35" s="13"/>
      <c r="V35" s="13"/>
      <c r="W35" s="13"/>
      <c r="X35" s="13"/>
      <c r="Y35" s="13"/>
      <c r="Z35" s="13"/>
      <c r="AA35" s="54"/>
      <c r="AB35" s="13"/>
      <c r="AC35" s="8"/>
    </row>
    <row r="36" spans="1:35" ht="13.5" customHeight="1">
      <c r="A36" s="58" t="s">
        <v>13</v>
      </c>
      <c r="B36" s="59">
        <f t="shared" ref="B36:B41" si="20">F5+F21</f>
        <v>144</v>
      </c>
      <c r="C36" s="60">
        <f t="shared" ref="C36:C42" si="21">E5+E21</f>
        <v>168</v>
      </c>
      <c r="D36" s="61">
        <f t="shared" ref="D36:D42" si="22">B36</f>
        <v>144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</row>
    <row r="37" spans="1:35" ht="13.5" customHeight="1">
      <c r="A37" s="62" t="s">
        <v>37</v>
      </c>
      <c r="B37" s="59">
        <f t="shared" si="20"/>
        <v>60</v>
      </c>
      <c r="C37" s="60">
        <f t="shared" si="21"/>
        <v>168</v>
      </c>
      <c r="D37" s="61">
        <f t="shared" si="22"/>
        <v>60</v>
      </c>
      <c r="E37" s="15"/>
      <c r="F37" s="15"/>
      <c r="G37" s="15"/>
      <c r="H37" s="54"/>
      <c r="I37" s="54"/>
      <c r="J37" s="54"/>
      <c r="K37" s="54"/>
      <c r="L37" s="63"/>
      <c r="M37" s="64"/>
      <c r="N37" s="64"/>
      <c r="O37" s="64"/>
      <c r="P37" s="64"/>
      <c r="Q37" s="64"/>
      <c r="R37" s="13"/>
      <c r="S37" s="13"/>
      <c r="T37" s="13"/>
      <c r="U37" s="13"/>
      <c r="V37" s="13"/>
      <c r="W37" s="13"/>
      <c r="X37" s="13"/>
      <c r="Y37" s="13"/>
      <c r="Z37" s="13"/>
      <c r="AA37" s="54"/>
      <c r="AB37" s="13"/>
      <c r="AC37" s="8"/>
    </row>
    <row r="38" spans="1:35" ht="13.5" customHeight="1">
      <c r="A38" s="62" t="s">
        <v>16</v>
      </c>
      <c r="B38" s="59">
        <f t="shared" si="20"/>
        <v>136</v>
      </c>
      <c r="C38" s="60">
        <f t="shared" si="21"/>
        <v>168</v>
      </c>
      <c r="D38" s="61">
        <f t="shared" si="22"/>
        <v>136</v>
      </c>
      <c r="E38" s="15"/>
      <c r="F38" s="15"/>
      <c r="G38" s="15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54"/>
      <c r="AB38" s="13"/>
      <c r="AC38" s="8"/>
    </row>
    <row r="39" spans="1:35" ht="13.5" customHeight="1">
      <c r="A39" s="62" t="s">
        <v>17</v>
      </c>
      <c r="B39" s="59">
        <f t="shared" si="20"/>
        <v>168</v>
      </c>
      <c r="C39" s="60">
        <f t="shared" si="21"/>
        <v>168</v>
      </c>
      <c r="D39" s="61">
        <f t="shared" si="22"/>
        <v>168</v>
      </c>
      <c r="E39" s="15"/>
      <c r="F39" s="15"/>
      <c r="G39" s="15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54"/>
      <c r="AB39" s="13"/>
      <c r="AC39" s="8"/>
    </row>
    <row r="40" spans="1:35" ht="13.5" customHeight="1">
      <c r="A40" s="58" t="s">
        <v>19</v>
      </c>
      <c r="B40" s="59">
        <f t="shared" si="20"/>
        <v>144</v>
      </c>
      <c r="C40" s="60">
        <f t="shared" si="21"/>
        <v>168</v>
      </c>
      <c r="D40" s="61">
        <f t="shared" si="22"/>
        <v>144</v>
      </c>
      <c r="E40" s="15"/>
      <c r="F40" s="15"/>
      <c r="G40" s="15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54"/>
      <c r="AB40" s="13"/>
      <c r="AC40" s="8"/>
    </row>
    <row r="41" spans="1:35" ht="13.5" customHeight="1">
      <c r="A41" s="62" t="s">
        <v>20</v>
      </c>
      <c r="B41" s="59">
        <f t="shared" si="20"/>
        <v>144</v>
      </c>
      <c r="C41" s="60">
        <f t="shared" si="21"/>
        <v>168</v>
      </c>
      <c r="D41" s="61">
        <f t="shared" si="22"/>
        <v>144</v>
      </c>
      <c r="E41" s="15"/>
      <c r="F41" s="13"/>
      <c r="G41" s="15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54"/>
      <c r="AB41" s="13"/>
      <c r="AC41" s="8"/>
    </row>
    <row r="42" spans="1:35" ht="13.5" customHeight="1">
      <c r="A42" s="69" t="s">
        <v>21</v>
      </c>
      <c r="B42" s="66">
        <f t="shared" ref="B42:B46" si="23">G11+G27</f>
        <v>72</v>
      </c>
      <c r="C42" s="67">
        <f t="shared" si="21"/>
        <v>168</v>
      </c>
      <c r="D42" s="68">
        <f t="shared" si="22"/>
        <v>72</v>
      </c>
      <c r="E42" s="15"/>
      <c r="F42" s="13"/>
      <c r="G42" s="15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54"/>
      <c r="AB42" s="13"/>
      <c r="AC42" s="8"/>
    </row>
    <row r="43" spans="1:35" ht="13.5" hidden="1" customHeight="1">
      <c r="A43" s="105"/>
      <c r="B43" s="94">
        <f t="shared" si="23"/>
        <v>0</v>
      </c>
      <c r="C43" s="95">
        <f t="shared" ref="C43:D43" si="24">B43</f>
        <v>0</v>
      </c>
      <c r="D43" s="106">
        <f t="shared" si="24"/>
        <v>0</v>
      </c>
      <c r="E43" s="37"/>
      <c r="F43" s="13"/>
      <c r="G43" s="37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54"/>
      <c r="AB43" s="13"/>
      <c r="AC43" s="8"/>
      <c r="AD43" s="36"/>
      <c r="AE43" s="36"/>
      <c r="AF43" s="36"/>
      <c r="AG43" s="36"/>
      <c r="AH43" s="36"/>
      <c r="AI43" s="36"/>
    </row>
    <row r="44" spans="1:35" ht="13.5" hidden="1" customHeight="1">
      <c r="A44" s="58"/>
      <c r="B44" s="59">
        <f t="shared" si="23"/>
        <v>0</v>
      </c>
      <c r="C44" s="60">
        <f t="shared" ref="C44:D44" si="25">B44</f>
        <v>0</v>
      </c>
      <c r="D44" s="61">
        <f t="shared" si="25"/>
        <v>0</v>
      </c>
      <c r="E44" s="37"/>
      <c r="F44" s="13"/>
      <c r="G44" s="37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54"/>
      <c r="AB44" s="13"/>
      <c r="AC44" s="8"/>
      <c r="AD44" s="36"/>
      <c r="AE44" s="36"/>
      <c r="AF44" s="36"/>
      <c r="AG44" s="36"/>
      <c r="AH44" s="36"/>
      <c r="AI44" s="36"/>
    </row>
    <row r="45" spans="1:35" ht="13.5" hidden="1" customHeight="1">
      <c r="A45" s="58"/>
      <c r="B45" s="59">
        <f t="shared" si="23"/>
        <v>0</v>
      </c>
      <c r="C45" s="60">
        <f t="shared" ref="C45:D45" si="26">B45</f>
        <v>0</v>
      </c>
      <c r="D45" s="61">
        <f t="shared" si="26"/>
        <v>0</v>
      </c>
      <c r="E45" s="37"/>
      <c r="F45" s="13"/>
      <c r="G45" s="37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54"/>
      <c r="AB45" s="13"/>
      <c r="AC45" s="8"/>
      <c r="AD45" s="36"/>
      <c r="AE45" s="36"/>
      <c r="AF45" s="36"/>
      <c r="AG45" s="36"/>
      <c r="AH45" s="36"/>
      <c r="AI45" s="36"/>
    </row>
    <row r="46" spans="1:35" ht="13.5" hidden="1" customHeight="1">
      <c r="A46" s="70"/>
      <c r="B46" s="66">
        <f t="shared" si="23"/>
        <v>0</v>
      </c>
      <c r="C46" s="67">
        <f t="shared" ref="C46:D46" si="27">B46</f>
        <v>0</v>
      </c>
      <c r="D46" s="68">
        <f t="shared" si="27"/>
        <v>0</v>
      </c>
      <c r="E46" s="37"/>
      <c r="F46" s="13"/>
      <c r="G46" s="37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54"/>
      <c r="AB46" s="13"/>
      <c r="AC46" s="8"/>
      <c r="AD46" s="36"/>
      <c r="AE46" s="36"/>
      <c r="AF46" s="36"/>
      <c r="AG46" s="36"/>
      <c r="AH46" s="36"/>
      <c r="AI46" s="36"/>
    </row>
    <row r="47" spans="1:35" ht="12.75" customHeight="1">
      <c r="A47" s="13"/>
      <c r="B47" s="13"/>
      <c r="C47" s="13"/>
      <c r="D47" s="13"/>
      <c r="E47" s="71"/>
      <c r="F47" s="71"/>
      <c r="G47" s="71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54"/>
      <c r="AB47" s="13"/>
      <c r="AC47" s="8"/>
    </row>
    <row r="48" spans="1:35" ht="12.75" customHeight="1">
      <c r="A48" s="13"/>
      <c r="B48" s="13"/>
      <c r="C48" s="13"/>
      <c r="D48" s="13"/>
      <c r="E48" s="71"/>
      <c r="F48" s="71"/>
      <c r="G48" s="71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54"/>
      <c r="AB48" s="13"/>
      <c r="AC48" s="8"/>
    </row>
    <row r="49" spans="1:29" ht="14.25" customHeight="1">
      <c r="A49" s="265" t="s">
        <v>0</v>
      </c>
      <c r="B49" s="266"/>
      <c r="C49" s="267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54"/>
      <c r="AB49" s="13"/>
      <c r="AC49" s="8"/>
    </row>
    <row r="50" spans="1:29" ht="12.75" customHeight="1">
      <c r="A50" s="72" t="s">
        <v>26</v>
      </c>
      <c r="B50" s="73" t="s">
        <v>27</v>
      </c>
      <c r="C50" s="74" t="s">
        <v>28</v>
      </c>
      <c r="D50" s="13"/>
      <c r="E50" s="13"/>
      <c r="F50" s="13"/>
      <c r="G50" s="15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3"/>
      <c r="T50" s="13"/>
      <c r="U50" s="13"/>
      <c r="V50" s="13"/>
      <c r="W50" s="13"/>
      <c r="X50" s="13"/>
      <c r="Y50" s="13"/>
      <c r="Z50" s="13"/>
      <c r="AA50" s="54"/>
      <c r="AB50" s="13"/>
      <c r="AC50" s="8"/>
    </row>
    <row r="51" spans="1:29" ht="12.75" customHeight="1">
      <c r="A51" s="75" t="s">
        <v>29</v>
      </c>
      <c r="B51" s="76">
        <f>NETWORKDAYS($I$3,$W$3)</f>
        <v>10</v>
      </c>
      <c r="C51" s="79">
        <f>B51*8</f>
        <v>80</v>
      </c>
      <c r="D51" s="13"/>
      <c r="E51" s="13"/>
      <c r="F51" s="13"/>
      <c r="G51" s="13"/>
      <c r="H51" s="15"/>
      <c r="I51" s="77"/>
      <c r="J51" s="77"/>
      <c r="K51" s="77"/>
      <c r="L51" s="77"/>
      <c r="M51" s="77"/>
      <c r="N51" s="77"/>
      <c r="O51" s="77"/>
      <c r="P51" s="15"/>
      <c r="Q51" s="15"/>
      <c r="R51" s="15"/>
      <c r="S51" s="13"/>
      <c r="T51" s="13"/>
      <c r="U51" s="13"/>
      <c r="V51" s="13"/>
      <c r="W51" s="13"/>
      <c r="X51" s="13"/>
      <c r="Y51" s="13"/>
      <c r="Z51" s="13"/>
      <c r="AA51" s="54"/>
      <c r="AB51" s="13"/>
      <c r="AC51" s="8"/>
    </row>
    <row r="52" spans="1:29" ht="12.75" customHeight="1">
      <c r="A52" s="62" t="s">
        <v>30</v>
      </c>
      <c r="B52" s="78">
        <v>0</v>
      </c>
      <c r="C52" s="79">
        <f>B52*8</f>
        <v>0</v>
      </c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54"/>
      <c r="AB52" s="13"/>
      <c r="AC52" s="8"/>
    </row>
    <row r="53" spans="1:29" ht="12.75" customHeight="1">
      <c r="A53" s="65" t="s">
        <v>31</v>
      </c>
      <c r="B53" s="80">
        <f t="shared" ref="B53:C53" si="28">B51-B52</f>
        <v>10</v>
      </c>
      <c r="C53" s="81">
        <f t="shared" si="28"/>
        <v>80</v>
      </c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54"/>
      <c r="AB53" s="13"/>
      <c r="AC53" s="8"/>
    </row>
    <row r="54" spans="1:29" ht="12.75" customHeight="1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54"/>
      <c r="AB54" s="13"/>
      <c r="AC54" s="8"/>
    </row>
    <row r="55" spans="1:29" ht="12.75" customHeight="1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54"/>
      <c r="AB55" s="13"/>
      <c r="AC55" s="8"/>
    </row>
    <row r="56" spans="1:29" ht="14.25" customHeight="1">
      <c r="A56" s="265" t="s">
        <v>22</v>
      </c>
      <c r="B56" s="266"/>
      <c r="C56" s="267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54"/>
      <c r="AB56" s="13"/>
      <c r="AC56" s="8"/>
    </row>
    <row r="57" spans="1:29" ht="12.75" customHeight="1">
      <c r="A57" s="72" t="s">
        <v>26</v>
      </c>
      <c r="B57" s="73" t="s">
        <v>27</v>
      </c>
      <c r="C57" s="74" t="s">
        <v>28</v>
      </c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54"/>
      <c r="AB57" s="13"/>
      <c r="AC57" s="8"/>
    </row>
    <row r="58" spans="1:29" ht="12.75" customHeight="1">
      <c r="A58" s="82" t="s">
        <v>29</v>
      </c>
      <c r="B58" s="76">
        <f>NETWORKDAYS($I$19,$X$19)</f>
        <v>12</v>
      </c>
      <c r="C58" s="79">
        <f t="shared" ref="C58:C59" si="29">B58*8</f>
        <v>96</v>
      </c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54"/>
      <c r="AB58" s="13"/>
      <c r="AC58" s="8"/>
    </row>
    <row r="59" spans="1:29" ht="12.75" customHeight="1">
      <c r="A59" s="82" t="s">
        <v>30</v>
      </c>
      <c r="B59" s="83">
        <f>COUNT(R19)</f>
        <v>1</v>
      </c>
      <c r="C59" s="79">
        <f t="shared" si="29"/>
        <v>8</v>
      </c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54"/>
      <c r="AB59" s="13"/>
      <c r="AC59" s="8"/>
    </row>
    <row r="60" spans="1:29" ht="12.75" customHeight="1">
      <c r="A60" s="84" t="s">
        <v>31</v>
      </c>
      <c r="B60" s="80">
        <f t="shared" ref="B60:C60" si="30">B58-B59</f>
        <v>11</v>
      </c>
      <c r="C60" s="81">
        <f t="shared" si="30"/>
        <v>88</v>
      </c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54"/>
      <c r="AB60" s="13"/>
      <c r="AC60" s="8"/>
    </row>
    <row r="61" spans="1:29" ht="12.75" customHeight="1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54"/>
      <c r="AB61" s="13"/>
      <c r="AC61" s="8"/>
    </row>
    <row r="62" spans="1:29" ht="12.75" customHeight="1">
      <c r="A62" s="13"/>
      <c r="B62" s="85" t="s">
        <v>32</v>
      </c>
      <c r="C62" s="86">
        <f>C53+C60</f>
        <v>168</v>
      </c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54"/>
      <c r="AB62" s="13"/>
      <c r="AC62" s="8"/>
    </row>
    <row r="63" spans="1:29" ht="12.75" customHeight="1">
      <c r="A63" s="87"/>
      <c r="B63" s="87"/>
      <c r="C63" s="87"/>
      <c r="D63" s="87"/>
      <c r="E63" s="87"/>
      <c r="F63" s="87"/>
      <c r="G63" s="87"/>
      <c r="H63" s="87"/>
      <c r="I63" s="87"/>
      <c r="J63" s="87"/>
      <c r="K63" s="87"/>
      <c r="L63" s="87"/>
      <c r="M63" s="87"/>
      <c r="N63" s="87"/>
      <c r="O63" s="87"/>
      <c r="P63" s="87"/>
      <c r="Q63" s="87"/>
      <c r="R63" s="87"/>
      <c r="S63" s="87"/>
      <c r="T63" s="87"/>
      <c r="U63" s="87"/>
      <c r="V63" s="87"/>
      <c r="W63" s="87"/>
      <c r="X63" s="87"/>
      <c r="Y63" s="87"/>
      <c r="Z63" s="87"/>
      <c r="AA63" s="88"/>
      <c r="AB63" s="87"/>
      <c r="AC63" s="8"/>
    </row>
    <row r="64" spans="1:29" ht="12.75" customHeight="1">
      <c r="A64" s="87"/>
      <c r="B64" s="87"/>
      <c r="C64" s="87"/>
      <c r="D64" s="87"/>
      <c r="E64" s="87"/>
      <c r="F64" s="87"/>
      <c r="G64" s="87"/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88"/>
      <c r="AB64" s="87"/>
      <c r="AC64" s="8"/>
    </row>
    <row r="65" spans="1:29" ht="12.75" customHeight="1">
      <c r="A65" s="87"/>
      <c r="B65" s="87"/>
      <c r="C65" s="87"/>
      <c r="D65" s="87"/>
      <c r="E65" s="87"/>
      <c r="F65" s="87"/>
      <c r="G65" s="87"/>
      <c r="H65" s="87"/>
      <c r="I65" s="87"/>
      <c r="J65" s="87"/>
      <c r="K65" s="87"/>
      <c r="L65" s="87"/>
      <c r="M65" s="87"/>
      <c r="N65" s="87"/>
      <c r="O65" s="87"/>
      <c r="P65" s="87"/>
      <c r="Q65" s="87"/>
      <c r="R65" s="87"/>
      <c r="S65" s="87"/>
      <c r="T65" s="87"/>
      <c r="U65" s="87"/>
      <c r="V65" s="87"/>
      <c r="W65" s="87"/>
      <c r="X65" s="87"/>
      <c r="Y65" s="87"/>
      <c r="Z65" s="87"/>
      <c r="AA65" s="88"/>
      <c r="AB65" s="87"/>
      <c r="AC65" s="8"/>
    </row>
    <row r="66" spans="1:29" ht="12.75" customHeight="1">
      <c r="A66" s="87"/>
      <c r="B66" s="87"/>
      <c r="C66" s="89"/>
      <c r="D66" s="87"/>
      <c r="E66" s="87"/>
      <c r="F66" s="87"/>
      <c r="G66" s="87"/>
      <c r="H66" s="87"/>
      <c r="I66" s="87"/>
      <c r="J66" s="87"/>
      <c r="K66" s="87"/>
      <c r="L66" s="87"/>
      <c r="M66" s="87"/>
      <c r="N66" s="87"/>
      <c r="O66" s="87"/>
      <c r="P66" s="87"/>
      <c r="Q66" s="87"/>
      <c r="R66" s="87"/>
      <c r="S66" s="87"/>
      <c r="T66" s="87"/>
      <c r="U66" s="87"/>
      <c r="V66" s="87"/>
      <c r="W66" s="87"/>
      <c r="X66" s="87"/>
      <c r="Y66" s="87"/>
      <c r="Z66" s="87"/>
      <c r="AA66" s="88"/>
      <c r="AB66" s="87"/>
      <c r="AC66" s="8"/>
    </row>
    <row r="67" spans="1:29" ht="12.75" customHeight="1">
      <c r="A67" s="87"/>
      <c r="B67" s="87"/>
      <c r="C67" s="89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87"/>
      <c r="O67" s="87"/>
      <c r="P67" s="87"/>
      <c r="Q67" s="87"/>
      <c r="R67" s="87"/>
      <c r="S67" s="87"/>
      <c r="T67" s="87"/>
      <c r="U67" s="87"/>
      <c r="V67" s="87"/>
      <c r="W67" s="87"/>
      <c r="X67" s="87"/>
      <c r="Y67" s="87"/>
      <c r="Z67" s="87"/>
      <c r="AA67" s="88"/>
      <c r="AB67" s="87"/>
      <c r="AC67" s="8"/>
    </row>
    <row r="68" spans="1:29" ht="12.75" customHeight="1">
      <c r="A68" s="87"/>
      <c r="B68" s="87"/>
      <c r="C68" s="89"/>
      <c r="D68" s="87"/>
      <c r="E68" s="87"/>
      <c r="F68" s="87"/>
      <c r="G68" s="87"/>
      <c r="H68" s="87"/>
      <c r="I68" s="87"/>
      <c r="J68" s="87"/>
      <c r="K68" s="87"/>
      <c r="L68" s="87"/>
      <c r="M68" s="87"/>
      <c r="N68" s="87"/>
      <c r="O68" s="87"/>
      <c r="P68" s="87"/>
      <c r="Q68" s="87"/>
      <c r="R68" s="87"/>
      <c r="S68" s="87"/>
      <c r="T68" s="87"/>
      <c r="U68" s="87"/>
      <c r="V68" s="87"/>
      <c r="W68" s="87"/>
      <c r="X68" s="87"/>
      <c r="Y68" s="87"/>
      <c r="Z68" s="87"/>
      <c r="AA68" s="88"/>
      <c r="AB68" s="87"/>
      <c r="AC68" s="8"/>
    </row>
    <row r="69" spans="1:29" ht="12.75" customHeight="1">
      <c r="A69" s="87"/>
      <c r="B69" s="87"/>
      <c r="C69" s="89"/>
      <c r="D69" s="87"/>
      <c r="E69" s="87"/>
      <c r="F69" s="87"/>
      <c r="G69" s="87"/>
      <c r="H69" s="87"/>
      <c r="I69" s="87"/>
      <c r="J69" s="87"/>
      <c r="K69" s="87"/>
      <c r="L69" s="87"/>
      <c r="M69" s="87"/>
      <c r="N69" s="87"/>
      <c r="O69" s="87"/>
      <c r="P69" s="87"/>
      <c r="Q69" s="87"/>
      <c r="R69" s="87"/>
      <c r="S69" s="87"/>
      <c r="T69" s="87"/>
      <c r="U69" s="87"/>
      <c r="V69" s="87"/>
      <c r="W69" s="87"/>
      <c r="X69" s="87"/>
      <c r="Y69" s="87"/>
      <c r="Z69" s="87"/>
      <c r="AA69" s="88"/>
      <c r="AB69" s="87"/>
      <c r="AC69" s="8"/>
    </row>
    <row r="70" spans="1:29" ht="12.75" customHeight="1">
      <c r="A70" s="87"/>
      <c r="B70" s="87"/>
      <c r="C70" s="87"/>
      <c r="D70" s="87"/>
      <c r="E70" s="87"/>
      <c r="F70" s="87"/>
      <c r="G70" s="87"/>
      <c r="H70" s="87"/>
      <c r="I70" s="87"/>
      <c r="J70" s="87"/>
      <c r="K70" s="87"/>
      <c r="L70" s="87"/>
      <c r="M70" s="87"/>
      <c r="N70" s="87"/>
      <c r="O70" s="87"/>
      <c r="P70" s="87"/>
      <c r="Q70" s="87"/>
      <c r="R70" s="87"/>
      <c r="S70" s="87"/>
      <c r="T70" s="87"/>
      <c r="U70" s="87"/>
      <c r="V70" s="87"/>
      <c r="W70" s="87"/>
      <c r="X70" s="87"/>
      <c r="Y70" s="87"/>
      <c r="Z70" s="87"/>
      <c r="AA70" s="88"/>
      <c r="AB70" s="87"/>
      <c r="AC70" s="8"/>
    </row>
    <row r="71" spans="1:29" ht="12.75" customHeight="1">
      <c r="A71" s="87"/>
      <c r="B71" s="87"/>
      <c r="C71" s="87"/>
      <c r="D71" s="87"/>
      <c r="E71" s="87"/>
      <c r="F71" s="87"/>
      <c r="G71" s="87"/>
      <c r="H71" s="87"/>
      <c r="I71" s="87"/>
      <c r="J71" s="87"/>
      <c r="K71" s="87"/>
      <c r="L71" s="87"/>
      <c r="M71" s="87"/>
      <c r="N71" s="87"/>
      <c r="O71" s="87"/>
      <c r="P71" s="87"/>
      <c r="Q71" s="87"/>
      <c r="R71" s="87"/>
      <c r="S71" s="87"/>
      <c r="T71" s="87"/>
      <c r="U71" s="87"/>
      <c r="V71" s="87"/>
      <c r="W71" s="87"/>
      <c r="X71" s="87"/>
      <c r="Y71" s="87"/>
      <c r="Z71" s="87"/>
      <c r="AA71" s="88"/>
      <c r="AB71" s="87"/>
      <c r="AC71" s="8"/>
    </row>
    <row r="72" spans="1:29" ht="12.75" customHeight="1">
      <c r="A72" s="87"/>
      <c r="B72" s="87"/>
      <c r="C72" s="87"/>
      <c r="D72" s="87"/>
      <c r="E72" s="87"/>
      <c r="F72" s="87"/>
      <c r="G72" s="87"/>
      <c r="H72" s="87"/>
      <c r="I72" s="87"/>
      <c r="J72" s="87"/>
      <c r="K72" s="87"/>
      <c r="L72" s="87"/>
      <c r="M72" s="87"/>
      <c r="N72" s="87"/>
      <c r="O72" s="87"/>
      <c r="P72" s="87"/>
      <c r="Q72" s="87"/>
      <c r="R72" s="87"/>
      <c r="S72" s="87"/>
      <c r="T72" s="87"/>
      <c r="U72" s="87"/>
      <c r="V72" s="87"/>
      <c r="W72" s="87"/>
      <c r="X72" s="87"/>
      <c r="Y72" s="87"/>
      <c r="Z72" s="87"/>
      <c r="AA72" s="88"/>
      <c r="AB72" s="87"/>
      <c r="AC72" s="8"/>
    </row>
    <row r="73" spans="1:29" ht="12.75" customHeight="1">
      <c r="A73" s="87"/>
      <c r="B73" s="87"/>
      <c r="C73" s="87"/>
      <c r="D73" s="87"/>
      <c r="E73" s="87"/>
      <c r="F73" s="87"/>
      <c r="G73" s="87"/>
      <c r="H73" s="87"/>
      <c r="I73" s="87"/>
      <c r="J73" s="87"/>
      <c r="K73" s="87"/>
      <c r="L73" s="87"/>
      <c r="M73" s="87"/>
      <c r="N73" s="87"/>
      <c r="O73" s="87"/>
      <c r="P73" s="87"/>
      <c r="Q73" s="87"/>
      <c r="R73" s="87"/>
      <c r="S73" s="87"/>
      <c r="T73" s="87"/>
      <c r="U73" s="87"/>
      <c r="V73" s="87"/>
      <c r="W73" s="87"/>
      <c r="X73" s="87"/>
      <c r="Y73" s="87"/>
      <c r="Z73" s="87"/>
      <c r="AA73" s="88"/>
      <c r="AB73" s="87"/>
      <c r="AC73" s="8"/>
    </row>
    <row r="74" spans="1:29" ht="12.75" customHeight="1">
      <c r="A74" s="87"/>
      <c r="B74" s="87"/>
      <c r="C74" s="87"/>
      <c r="D74" s="87"/>
      <c r="E74" s="87"/>
      <c r="F74" s="87"/>
      <c r="G74" s="87"/>
      <c r="H74" s="87"/>
      <c r="I74" s="87"/>
      <c r="J74" s="87"/>
      <c r="K74" s="87"/>
      <c r="L74" s="87"/>
      <c r="M74" s="87"/>
      <c r="N74" s="87"/>
      <c r="O74" s="87"/>
      <c r="P74" s="87"/>
      <c r="Q74" s="87"/>
      <c r="R74" s="87"/>
      <c r="S74" s="87"/>
      <c r="T74" s="87"/>
      <c r="U74" s="87"/>
      <c r="V74" s="87"/>
      <c r="W74" s="87"/>
      <c r="X74" s="87"/>
      <c r="Y74" s="87"/>
      <c r="Z74" s="87"/>
      <c r="AA74" s="88"/>
      <c r="AB74" s="87"/>
      <c r="AC74" s="8"/>
    </row>
    <row r="75" spans="1:29" ht="12.75" customHeight="1">
      <c r="A75" s="87"/>
      <c r="B75" s="87"/>
      <c r="C75" s="87"/>
      <c r="D75" s="87"/>
      <c r="E75" s="87"/>
      <c r="F75" s="87"/>
      <c r="G75" s="87"/>
      <c r="H75" s="87"/>
      <c r="I75" s="87"/>
      <c r="J75" s="87"/>
      <c r="K75" s="87"/>
      <c r="L75" s="87"/>
      <c r="M75" s="87"/>
      <c r="N75" s="87"/>
      <c r="O75" s="87"/>
      <c r="P75" s="87"/>
      <c r="Q75" s="87"/>
      <c r="R75" s="87"/>
      <c r="S75" s="87"/>
      <c r="T75" s="87"/>
      <c r="U75" s="87"/>
      <c r="V75" s="87"/>
      <c r="W75" s="87"/>
      <c r="X75" s="87"/>
      <c r="Y75" s="87"/>
      <c r="Z75" s="87"/>
      <c r="AA75" s="88"/>
      <c r="AB75" s="87"/>
      <c r="AC75" s="8"/>
    </row>
    <row r="76" spans="1:29" ht="12.75" customHeight="1">
      <c r="A76" s="87"/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  <c r="M76" s="87"/>
      <c r="N76" s="87"/>
      <c r="O76" s="87"/>
      <c r="P76" s="87"/>
      <c r="Q76" s="87"/>
      <c r="R76" s="87"/>
      <c r="S76" s="87"/>
      <c r="T76" s="87"/>
      <c r="U76" s="87"/>
      <c r="V76" s="87"/>
      <c r="W76" s="87"/>
      <c r="X76" s="87"/>
      <c r="Y76" s="87"/>
      <c r="Z76" s="87"/>
      <c r="AA76" s="88"/>
      <c r="AB76" s="87"/>
      <c r="AC76" s="8"/>
    </row>
    <row r="77" spans="1:29" ht="12.75" customHeight="1">
      <c r="A77" s="87"/>
      <c r="B77" s="87"/>
      <c r="C77" s="87"/>
      <c r="D77" s="87"/>
      <c r="E77" s="87"/>
      <c r="F77" s="87"/>
      <c r="G77" s="87"/>
      <c r="H77" s="87"/>
      <c r="I77" s="87"/>
      <c r="J77" s="87"/>
      <c r="K77" s="87"/>
      <c r="L77" s="87"/>
      <c r="M77" s="87"/>
      <c r="N77" s="87"/>
      <c r="O77" s="87"/>
      <c r="P77" s="87"/>
      <c r="Q77" s="87"/>
      <c r="R77" s="87"/>
      <c r="S77" s="87"/>
      <c r="T77" s="87"/>
      <c r="U77" s="87"/>
      <c r="V77" s="87"/>
      <c r="W77" s="87"/>
      <c r="X77" s="87"/>
      <c r="Y77" s="87"/>
      <c r="Z77" s="87"/>
      <c r="AA77" s="88"/>
      <c r="AB77" s="87"/>
      <c r="AC77" s="8"/>
    </row>
    <row r="78" spans="1:29" ht="12.75" customHeight="1">
      <c r="A78" s="87"/>
      <c r="B78" s="87"/>
      <c r="C78" s="87"/>
      <c r="D78" s="87"/>
      <c r="E78" s="87"/>
      <c r="F78" s="87"/>
      <c r="G78" s="87"/>
      <c r="H78" s="87"/>
      <c r="I78" s="87"/>
      <c r="J78" s="87"/>
      <c r="K78" s="87"/>
      <c r="L78" s="87"/>
      <c r="M78" s="87"/>
      <c r="N78" s="87"/>
      <c r="O78" s="87"/>
      <c r="P78" s="87"/>
      <c r="Q78" s="87"/>
      <c r="R78" s="87"/>
      <c r="S78" s="87"/>
      <c r="T78" s="87"/>
      <c r="U78" s="87"/>
      <c r="V78" s="87"/>
      <c r="W78" s="87"/>
      <c r="X78" s="87"/>
      <c r="Y78" s="87"/>
      <c r="Z78" s="87"/>
      <c r="AA78" s="88"/>
      <c r="AB78" s="87"/>
      <c r="AC78" s="8"/>
    </row>
    <row r="79" spans="1:29" ht="12.75" customHeight="1">
      <c r="A79" s="87"/>
      <c r="B79" s="87"/>
      <c r="C79" s="87"/>
      <c r="D79" s="87"/>
      <c r="E79" s="87"/>
      <c r="F79" s="87"/>
      <c r="G79" s="87"/>
      <c r="H79" s="87"/>
      <c r="I79" s="87"/>
      <c r="J79" s="87"/>
      <c r="K79" s="87"/>
      <c r="L79" s="87"/>
      <c r="M79" s="87"/>
      <c r="N79" s="87"/>
      <c r="O79" s="87"/>
      <c r="P79" s="87"/>
      <c r="Q79" s="87"/>
      <c r="R79" s="87"/>
      <c r="S79" s="87"/>
      <c r="T79" s="87"/>
      <c r="U79" s="87"/>
      <c r="V79" s="87"/>
      <c r="W79" s="87"/>
      <c r="X79" s="87"/>
      <c r="Y79" s="87"/>
      <c r="Z79" s="87"/>
      <c r="AA79" s="88"/>
      <c r="AB79" s="87"/>
      <c r="AC79" s="8"/>
    </row>
    <row r="80" spans="1:29" ht="12.75" customHeight="1">
      <c r="A80" s="87"/>
      <c r="B80" s="87"/>
      <c r="C80" s="87"/>
      <c r="D80" s="87"/>
      <c r="E80" s="87"/>
      <c r="F80" s="87"/>
      <c r="G80" s="87"/>
      <c r="H80" s="87"/>
      <c r="I80" s="87"/>
      <c r="J80" s="87"/>
      <c r="K80" s="87"/>
      <c r="L80" s="87"/>
      <c r="M80" s="87"/>
      <c r="N80" s="87"/>
      <c r="O80" s="87"/>
      <c r="P80" s="87"/>
      <c r="Q80" s="87"/>
      <c r="R80" s="87"/>
      <c r="S80" s="87"/>
      <c r="T80" s="87"/>
      <c r="U80" s="87"/>
      <c r="V80" s="87"/>
      <c r="W80" s="87"/>
      <c r="X80" s="87"/>
      <c r="Y80" s="87"/>
      <c r="Z80" s="87"/>
      <c r="AA80" s="88"/>
      <c r="AB80" s="87"/>
      <c r="AC80" s="8"/>
    </row>
    <row r="81" spans="1:29" ht="12.75" customHeight="1">
      <c r="A81" s="87"/>
      <c r="B81" s="87"/>
      <c r="C81" s="87"/>
      <c r="D81" s="87"/>
      <c r="E81" s="87"/>
      <c r="F81" s="87"/>
      <c r="G81" s="87"/>
      <c r="H81" s="87"/>
      <c r="I81" s="87"/>
      <c r="J81" s="87"/>
      <c r="K81" s="87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"/>
      <c r="AB81" s="87"/>
      <c r="AC81" s="8"/>
    </row>
    <row r="82" spans="1:29" ht="12.75" customHeight="1">
      <c r="A82" s="87"/>
      <c r="B82" s="87"/>
      <c r="C82" s="87"/>
      <c r="D82" s="87"/>
      <c r="E82" s="87"/>
      <c r="F82" s="87"/>
      <c r="G82" s="87"/>
      <c r="H82" s="87"/>
      <c r="I82" s="87"/>
      <c r="J82" s="87"/>
      <c r="K82" s="87"/>
      <c r="L82" s="87"/>
      <c r="M82" s="87"/>
      <c r="N82" s="87"/>
      <c r="O82" s="87"/>
      <c r="P82" s="87"/>
      <c r="Q82" s="87"/>
      <c r="R82" s="87"/>
      <c r="S82" s="87"/>
      <c r="T82" s="87"/>
      <c r="U82" s="87"/>
      <c r="V82" s="87"/>
      <c r="W82" s="87"/>
      <c r="X82" s="87"/>
      <c r="Y82" s="87"/>
      <c r="Z82" s="87"/>
      <c r="AA82" s="8"/>
      <c r="AB82" s="8"/>
      <c r="AC82" s="8"/>
    </row>
    <row r="83" spans="1:29" ht="12.75" customHeight="1">
      <c r="A83" s="8"/>
      <c r="B83" s="8"/>
      <c r="C83" s="8"/>
      <c r="D83" s="8"/>
      <c r="E83" s="87"/>
      <c r="F83" s="87"/>
      <c r="G83" s="87"/>
      <c r="H83" s="87"/>
      <c r="I83" s="87"/>
      <c r="J83" s="87"/>
      <c r="K83" s="87"/>
      <c r="L83" s="87"/>
      <c r="M83" s="87"/>
      <c r="N83" s="87"/>
      <c r="O83" s="87"/>
      <c r="P83" s="87"/>
      <c r="Q83" s="87"/>
      <c r="R83" s="87"/>
      <c r="S83" s="87"/>
      <c r="T83" s="87"/>
      <c r="U83" s="87"/>
      <c r="V83" s="87"/>
      <c r="W83" s="87"/>
      <c r="X83" s="87"/>
      <c r="Y83" s="87"/>
      <c r="Z83" s="87"/>
      <c r="AA83" s="8"/>
      <c r="AB83" s="8"/>
      <c r="AC83" s="8"/>
    </row>
    <row r="84" spans="1:29" ht="12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263" ht="12.5"/>
    <row r="264" ht="12.5"/>
    <row r="265" ht="12.5"/>
    <row r="266" ht="12.5"/>
    <row r="267" ht="12.5"/>
    <row r="268" ht="12.5"/>
    <row r="269" ht="12.5"/>
    <row r="270" ht="12.5"/>
    <row r="271" ht="12.5"/>
    <row r="272" ht="12.5"/>
    <row r="273" ht="12.5"/>
    <row r="274" ht="12.5"/>
    <row r="275" ht="12.5"/>
    <row r="276" ht="12.5"/>
    <row r="277" ht="12.5"/>
    <row r="278" ht="12.5"/>
    <row r="279" ht="12.5"/>
    <row r="280" ht="12.5"/>
    <row r="281" ht="12.5"/>
    <row r="282" ht="12.5"/>
    <row r="283" ht="12.5"/>
    <row r="284" ht="12.5"/>
    <row r="285" ht="12.5"/>
    <row r="286" ht="12.5"/>
    <row r="287" ht="12.5"/>
    <row r="288" ht="12.5"/>
    <row r="289" ht="12.5"/>
    <row r="290" ht="12.5"/>
    <row r="291" ht="12.5"/>
    <row r="292" ht="12.5"/>
    <row r="293" ht="12.5"/>
    <row r="294" ht="12.5"/>
    <row r="295" ht="12.5"/>
    <row r="296" ht="12.5"/>
    <row r="297" ht="12.5"/>
    <row r="298" ht="12.5"/>
    <row r="299" ht="12.5"/>
    <row r="300" ht="12.5"/>
    <row r="301" ht="12.5"/>
    <row r="302" ht="12.5"/>
    <row r="303" ht="12.5"/>
    <row r="304" ht="12.5"/>
    <row r="305" ht="12.5"/>
    <row r="306" ht="12.5"/>
    <row r="307" ht="12.5"/>
    <row r="308" ht="12.5"/>
    <row r="309" ht="12.5"/>
    <row r="310" ht="12.5"/>
    <row r="311" ht="12.5"/>
    <row r="312" ht="12.5"/>
    <row r="313" ht="12.5"/>
    <row r="314" ht="12.5"/>
    <row r="315" ht="12.5"/>
    <row r="316" ht="12.5"/>
    <row r="317" ht="12.5"/>
    <row r="318" ht="12.5"/>
    <row r="319" ht="12.5"/>
    <row r="320" ht="12.5"/>
    <row r="321" ht="12.5"/>
    <row r="322" ht="12.5"/>
    <row r="323" ht="12.5"/>
    <row r="324" ht="12.5"/>
    <row r="325" ht="12.5"/>
    <row r="326" ht="12.5"/>
    <row r="327" ht="12.5"/>
    <row r="328" ht="12.5"/>
    <row r="329" ht="12.5"/>
    <row r="330" ht="12.5"/>
    <row r="331" ht="12.5"/>
    <row r="332" ht="12.5"/>
    <row r="333" ht="12.5"/>
    <row r="334" ht="12.5"/>
    <row r="335" ht="12.5"/>
    <row r="336" ht="12.5"/>
    <row r="337" ht="12.5"/>
    <row r="338" ht="12.5"/>
    <row r="339" ht="12.5"/>
    <row r="340" ht="12.5"/>
    <row r="341" ht="12.5"/>
    <row r="342" ht="12.5"/>
    <row r="343" ht="12.5"/>
    <row r="344" ht="12.5"/>
    <row r="345" ht="12.5"/>
    <row r="346" ht="12.5"/>
    <row r="347" ht="12.5"/>
    <row r="348" ht="12.5"/>
    <row r="349" ht="12.5"/>
    <row r="350" ht="12.5"/>
    <row r="351" ht="12.5"/>
    <row r="352" ht="12.5"/>
    <row r="353" ht="12.5"/>
    <row r="354" ht="12.5"/>
    <row r="355" ht="12.5"/>
    <row r="356" ht="12.5"/>
    <row r="357" ht="12.5"/>
    <row r="358" ht="12.5"/>
    <row r="359" ht="12.5"/>
    <row r="360" ht="12.5"/>
    <row r="361" ht="12.5"/>
    <row r="362" ht="12.5"/>
    <row r="363" ht="12.5"/>
    <row r="364" ht="12.5"/>
    <row r="365" ht="12.5"/>
    <row r="366" ht="12.5"/>
    <row r="367" ht="12.5"/>
    <row r="368" ht="12.5"/>
    <row r="369" ht="12.5"/>
    <row r="370" ht="12.5"/>
    <row r="371" ht="12.5"/>
    <row r="372" ht="12.5"/>
    <row r="373" ht="12.5"/>
    <row r="374" ht="12.5"/>
    <row r="375" ht="12.5"/>
    <row r="376" ht="12.5"/>
    <row r="377" ht="12.5"/>
    <row r="378" ht="12.5"/>
    <row r="379" ht="12.5"/>
    <row r="380" ht="12.5"/>
    <row r="381" ht="12.5"/>
    <row r="382" ht="12.5"/>
    <row r="383" ht="12.5"/>
    <row r="384" ht="12.5"/>
    <row r="385" ht="12.5"/>
    <row r="386" ht="12.5"/>
    <row r="387" ht="12.5"/>
    <row r="388" ht="12.5"/>
    <row r="389" ht="12.5"/>
    <row r="390" ht="12.5"/>
    <row r="391" ht="12.5"/>
    <row r="392" ht="12.5"/>
    <row r="393" ht="12.5"/>
    <row r="394" ht="12.5"/>
    <row r="395" ht="12.5"/>
    <row r="396" ht="12.5"/>
    <row r="397" ht="12.5"/>
    <row r="398" ht="12.5"/>
    <row r="399" ht="12.5"/>
    <row r="400" ht="12.5"/>
    <row r="401" ht="12.5"/>
    <row r="402" ht="12.5"/>
    <row r="403" ht="12.5"/>
    <row r="404" ht="12.5"/>
    <row r="405" ht="12.5"/>
    <row r="406" ht="12.5"/>
    <row r="407" ht="12.5"/>
    <row r="408" ht="12.5"/>
    <row r="409" ht="12.5"/>
    <row r="410" ht="12.5"/>
    <row r="411" ht="12.5"/>
    <row r="412" ht="12.5"/>
    <row r="413" ht="12.5"/>
    <row r="414" ht="12.5"/>
    <row r="415" ht="12.5"/>
    <row r="416" ht="12.5"/>
    <row r="417" ht="12.5"/>
    <row r="418" ht="12.5"/>
    <row r="419" ht="12.5"/>
    <row r="420" ht="12.5"/>
    <row r="421" ht="12.5"/>
    <row r="422" ht="12.5"/>
    <row r="423" ht="12.5"/>
    <row r="424" ht="12.5"/>
    <row r="425" ht="12.5"/>
    <row r="426" ht="12.5"/>
    <row r="427" ht="12.5"/>
    <row r="428" ht="12.5"/>
    <row r="429" ht="12.5"/>
    <row r="430" ht="12.5"/>
    <row r="431" ht="12.5"/>
    <row r="432" ht="12.5"/>
    <row r="433" ht="12.5"/>
    <row r="434" ht="12.5"/>
    <row r="435" ht="12.5"/>
    <row r="436" ht="12.5"/>
    <row r="437" ht="12.5"/>
    <row r="438" ht="12.5"/>
    <row r="439" ht="12.5"/>
    <row r="440" ht="12.5"/>
    <row r="441" ht="12.5"/>
    <row r="442" ht="12.5"/>
    <row r="443" ht="12.5"/>
    <row r="444" ht="12.5"/>
    <row r="445" ht="12.5"/>
    <row r="446" ht="12.5"/>
    <row r="447" ht="12.5"/>
    <row r="448" ht="12.5"/>
    <row r="449" ht="12.5"/>
    <row r="450" ht="12.5"/>
    <row r="451" ht="12.5"/>
    <row r="452" ht="12.5"/>
    <row r="453" ht="12.5"/>
    <row r="454" ht="12.5"/>
    <row r="455" ht="12.5"/>
    <row r="456" ht="12.5"/>
    <row r="457" ht="12.5"/>
    <row r="458" ht="12.5"/>
    <row r="459" ht="12.5"/>
    <row r="460" ht="12.5"/>
    <row r="461" ht="12.5"/>
    <row r="462" ht="12.5"/>
    <row r="463" ht="12.5"/>
    <row r="464" ht="12.5"/>
    <row r="465" ht="12.5"/>
    <row r="466" ht="12.5"/>
    <row r="467" ht="12.5"/>
    <row r="468" ht="12.5"/>
    <row r="469" ht="12.5"/>
    <row r="470" ht="12.5"/>
    <row r="471" ht="12.5"/>
    <row r="472" ht="12.5"/>
    <row r="473" ht="12.5"/>
    <row r="474" ht="12.5"/>
    <row r="475" ht="12.5"/>
    <row r="476" ht="12.5"/>
    <row r="477" ht="12.5"/>
    <row r="478" ht="12.5"/>
    <row r="479" ht="12.5"/>
    <row r="480" ht="12.5"/>
    <row r="481" ht="12.5"/>
    <row r="482" ht="12.5"/>
    <row r="483" ht="12.5"/>
    <row r="484" ht="12.5"/>
    <row r="485" ht="12.5"/>
    <row r="486" ht="12.5"/>
    <row r="487" ht="12.5"/>
    <row r="488" ht="12.5"/>
    <row r="489" ht="12.5"/>
    <row r="490" ht="12.5"/>
    <row r="491" ht="12.5"/>
    <row r="492" ht="12.5"/>
    <row r="493" ht="12.5"/>
    <row r="494" ht="12.5"/>
    <row r="495" ht="12.5"/>
    <row r="496" ht="12.5"/>
    <row r="497" ht="12.5"/>
    <row r="498" ht="12.5"/>
    <row r="499" ht="12.5"/>
    <row r="500" ht="12.5"/>
    <row r="501" ht="12.5"/>
    <row r="502" ht="12.5"/>
    <row r="503" ht="12.5"/>
    <row r="504" ht="12.5"/>
    <row r="505" ht="12.5"/>
    <row r="506" ht="12.5"/>
    <row r="507" ht="12.5"/>
    <row r="508" ht="12.5"/>
    <row r="509" ht="12.5"/>
    <row r="510" ht="12.5"/>
    <row r="511" ht="12.5"/>
    <row r="512" ht="12.5"/>
    <row r="513" ht="12.5"/>
    <row r="514" ht="12.5"/>
    <row r="515" ht="12.5"/>
    <row r="516" ht="12.5"/>
    <row r="517" ht="12.5"/>
    <row r="518" ht="12.5"/>
    <row r="519" ht="12.5"/>
    <row r="520" ht="12.5"/>
    <row r="521" ht="12.5"/>
    <row r="522" ht="12.5"/>
    <row r="523" ht="12.5"/>
    <row r="524" ht="12.5"/>
    <row r="525" ht="12.5"/>
    <row r="526" ht="12.5"/>
    <row r="527" ht="12.5"/>
    <row r="528" ht="12.5"/>
    <row r="529" ht="12.5"/>
    <row r="530" ht="12.5"/>
    <row r="531" ht="12.5"/>
    <row r="532" ht="12.5"/>
    <row r="533" ht="12.5"/>
    <row r="534" ht="12.5"/>
    <row r="535" ht="12.5"/>
    <row r="536" ht="12.5"/>
    <row r="537" ht="12.5"/>
    <row r="538" ht="12.5"/>
    <row r="539" ht="12.5"/>
    <row r="540" ht="12.5"/>
    <row r="541" ht="12.5"/>
    <row r="542" ht="12.5"/>
    <row r="543" ht="12.5"/>
    <row r="544" ht="12.5"/>
    <row r="545" ht="12.5"/>
    <row r="546" ht="12.5"/>
    <row r="547" ht="12.5"/>
    <row r="548" ht="12.5"/>
    <row r="549" ht="12.5"/>
    <row r="550" ht="12.5"/>
    <row r="551" ht="12.5"/>
    <row r="552" ht="12.5"/>
    <row r="553" ht="12.5"/>
    <row r="554" ht="12.5"/>
    <row r="555" ht="12.5"/>
    <row r="556" ht="12.5"/>
    <row r="557" ht="12.5"/>
    <row r="558" ht="12.5"/>
    <row r="559" ht="12.5"/>
    <row r="560" ht="12.5"/>
    <row r="561" ht="12.5"/>
    <row r="562" ht="12.5"/>
    <row r="563" ht="12.5"/>
    <row r="564" ht="12.5"/>
    <row r="565" ht="12.5"/>
    <row r="566" ht="12.5"/>
    <row r="567" ht="12.5"/>
    <row r="568" ht="12.5"/>
    <row r="569" ht="12.5"/>
    <row r="570" ht="12.5"/>
    <row r="571" ht="12.5"/>
    <row r="572" ht="12.5"/>
    <row r="573" ht="12.5"/>
    <row r="574" ht="12.5"/>
    <row r="575" ht="12.5"/>
    <row r="576" ht="12.5"/>
    <row r="577" ht="12.5"/>
    <row r="578" ht="12.5"/>
    <row r="579" ht="12.5"/>
    <row r="580" ht="12.5"/>
    <row r="581" ht="12.5"/>
    <row r="582" ht="12.5"/>
    <row r="583" ht="12.5"/>
    <row r="584" ht="12.5"/>
    <row r="585" ht="12.5"/>
    <row r="586" ht="12.5"/>
    <row r="587" ht="12.5"/>
    <row r="588" ht="12.5"/>
    <row r="589" ht="12.5"/>
    <row r="590" ht="12.5"/>
    <row r="591" ht="12.5"/>
    <row r="592" ht="12.5"/>
    <row r="593" ht="12.5"/>
    <row r="594" ht="12.5"/>
    <row r="595" ht="12.5"/>
    <row r="596" ht="12.5"/>
    <row r="597" ht="12.5"/>
    <row r="598" ht="12.5"/>
    <row r="599" ht="12.5"/>
    <row r="600" ht="12.5"/>
    <row r="601" ht="12.5"/>
    <row r="602" ht="12.5"/>
    <row r="603" ht="12.5"/>
    <row r="604" ht="12.5"/>
    <row r="605" ht="12.5"/>
    <row r="606" ht="12.5"/>
    <row r="607" ht="12.5"/>
    <row r="608" ht="12.5"/>
    <row r="609" ht="12.5"/>
    <row r="610" ht="12.5"/>
    <row r="611" ht="12.5"/>
    <row r="612" ht="12.5"/>
    <row r="613" ht="12.5"/>
    <row r="614" ht="12.5"/>
    <row r="615" ht="12.5"/>
    <row r="616" ht="12.5"/>
    <row r="617" ht="12.5"/>
    <row r="618" ht="12.5"/>
    <row r="619" ht="12.5"/>
    <row r="620" ht="12.5"/>
    <row r="621" ht="12.5"/>
    <row r="622" ht="12.5"/>
    <row r="623" ht="12.5"/>
    <row r="624" ht="12.5"/>
    <row r="625" ht="12.5"/>
    <row r="626" ht="12.5"/>
    <row r="627" ht="12.5"/>
    <row r="628" ht="12.5"/>
    <row r="629" ht="12.5"/>
    <row r="630" ht="12.5"/>
    <row r="631" ht="12.5"/>
    <row r="632" ht="12.5"/>
    <row r="633" ht="12.5"/>
    <row r="634" ht="12.5"/>
    <row r="635" ht="12.5"/>
    <row r="636" ht="12.5"/>
    <row r="637" ht="12.5"/>
    <row r="638" ht="12.5"/>
    <row r="639" ht="12.5"/>
    <row r="640" ht="12.5"/>
    <row r="641" ht="12.5"/>
    <row r="642" ht="12.5"/>
    <row r="643" ht="12.5"/>
    <row r="644" ht="12.5"/>
    <row r="645" ht="12.5"/>
    <row r="646" ht="12.5"/>
    <row r="647" ht="12.5"/>
    <row r="648" ht="12.5"/>
    <row r="649" ht="12.5"/>
    <row r="650" ht="12.5"/>
    <row r="651" ht="12.5"/>
    <row r="652" ht="12.5"/>
    <row r="653" ht="12.5"/>
    <row r="654" ht="12.5"/>
    <row r="655" ht="12.5"/>
    <row r="656" ht="12.5"/>
    <row r="657" ht="12.5"/>
    <row r="658" ht="12.5"/>
    <row r="659" ht="12.5"/>
    <row r="660" ht="12.5"/>
    <row r="661" ht="12.5"/>
    <row r="662" ht="12.5"/>
    <row r="663" ht="12.5"/>
    <row r="664" ht="12.5"/>
    <row r="665" ht="12.5"/>
    <row r="666" ht="12.5"/>
    <row r="667" ht="12.5"/>
    <row r="668" ht="12.5"/>
    <row r="669" ht="12.5"/>
    <row r="670" ht="12.5"/>
    <row r="671" ht="12.5"/>
    <row r="672" ht="12.5"/>
    <row r="673" ht="12.5"/>
    <row r="674" ht="12.5"/>
    <row r="675" ht="12.5"/>
    <row r="676" ht="12.5"/>
    <row r="677" ht="12.5"/>
    <row r="678" ht="12.5"/>
    <row r="679" ht="12.5"/>
    <row r="680" ht="12.5"/>
    <row r="681" ht="12.5"/>
    <row r="682" ht="12.5"/>
    <row r="683" ht="12.5"/>
    <row r="684" ht="12.5"/>
    <row r="685" ht="12.5"/>
    <row r="686" ht="12.5"/>
    <row r="687" ht="12.5"/>
    <row r="688" ht="12.5"/>
    <row r="689" ht="12.5"/>
    <row r="690" ht="12.5"/>
    <row r="691" ht="12.5"/>
    <row r="692" ht="12.5"/>
    <row r="693" ht="12.5"/>
    <row r="694" ht="12.5"/>
    <row r="695" ht="12.5"/>
    <row r="696" ht="12.5"/>
    <row r="697" ht="12.5"/>
    <row r="698" ht="12.5"/>
    <row r="699" ht="12.5"/>
    <row r="700" ht="12.5"/>
    <row r="701" ht="12.5"/>
    <row r="702" ht="12.5"/>
    <row r="703" ht="12.5"/>
    <row r="704" ht="12.5"/>
    <row r="705" ht="12.5"/>
    <row r="706" ht="12.5"/>
    <row r="707" ht="12.5"/>
    <row r="708" ht="12.5"/>
    <row r="709" ht="12.5"/>
    <row r="710" ht="12.5"/>
    <row r="711" ht="12.5"/>
    <row r="712" ht="12.5"/>
    <row r="713" ht="12.5"/>
    <row r="714" ht="12.5"/>
    <row r="715" ht="12.5"/>
    <row r="716" ht="12.5"/>
    <row r="717" ht="12.5"/>
    <row r="718" ht="12.5"/>
    <row r="719" ht="12.5"/>
    <row r="720" ht="12.5"/>
    <row r="721" ht="12.5"/>
    <row r="722" ht="12.5"/>
    <row r="723" ht="12.5"/>
    <row r="724" ht="12.5"/>
    <row r="725" ht="12.5"/>
    <row r="726" ht="12.5"/>
    <row r="727" ht="12.5"/>
    <row r="728" ht="12.5"/>
    <row r="729" ht="12.5"/>
    <row r="730" ht="12.5"/>
    <row r="731" ht="12.5"/>
    <row r="732" ht="12.5"/>
    <row r="733" ht="12.5"/>
    <row r="734" ht="12.5"/>
    <row r="735" ht="12.5"/>
    <row r="736" ht="12.5"/>
    <row r="737" ht="12.5"/>
    <row r="738" ht="12.5"/>
    <row r="739" ht="12.5"/>
    <row r="740" ht="12.5"/>
    <row r="741" ht="12.5"/>
    <row r="742" ht="12.5"/>
    <row r="743" ht="12.5"/>
    <row r="744" ht="12.5"/>
    <row r="745" ht="12.5"/>
    <row r="746" ht="12.5"/>
    <row r="747" ht="12.5"/>
    <row r="748" ht="12.5"/>
    <row r="749" ht="12.5"/>
    <row r="750" ht="12.5"/>
    <row r="751" ht="12.5"/>
    <row r="752" ht="12.5"/>
    <row r="753" ht="12.5"/>
    <row r="754" ht="12.5"/>
    <row r="755" ht="12.5"/>
    <row r="756" ht="12.5"/>
    <row r="757" ht="12.5"/>
    <row r="758" ht="12.5"/>
    <row r="759" ht="12.5"/>
    <row r="760" ht="12.5"/>
    <row r="761" ht="12.5"/>
    <row r="762" ht="12.5"/>
    <row r="763" ht="12.5"/>
    <row r="764" ht="12.5"/>
    <row r="765" ht="12.5"/>
    <row r="766" ht="12.5"/>
    <row r="767" ht="12.5"/>
    <row r="768" ht="12.5"/>
    <row r="769" ht="12.5"/>
    <row r="770" ht="12.5"/>
    <row r="771" ht="12.5"/>
    <row r="772" ht="12.5"/>
    <row r="773" ht="12.5"/>
    <row r="774" ht="12.5"/>
    <row r="775" ht="12.5"/>
    <row r="776" ht="12.5"/>
    <row r="777" ht="12.5"/>
    <row r="778" ht="12.5"/>
    <row r="779" ht="12.5"/>
    <row r="780" ht="12.5"/>
    <row r="781" ht="12.5"/>
    <row r="782" ht="12.5"/>
    <row r="783" ht="12.5"/>
    <row r="784" ht="12.5"/>
    <row r="785" ht="12.5"/>
    <row r="786" ht="12.5"/>
    <row r="787" ht="12.5"/>
    <row r="788" ht="12.5"/>
    <row r="789" ht="12.5"/>
    <row r="790" ht="12.5"/>
    <row r="791" ht="12.5"/>
    <row r="792" ht="12.5"/>
    <row r="793" ht="12.5"/>
    <row r="794" ht="12.5"/>
    <row r="795" ht="12.5"/>
    <row r="796" ht="12.5"/>
    <row r="797" ht="12.5"/>
    <row r="798" ht="12.5"/>
    <row r="799" ht="12.5"/>
    <row r="800" ht="12.5"/>
    <row r="801" ht="12.5"/>
    <row r="802" ht="12.5"/>
    <row r="803" ht="12.5"/>
    <row r="804" ht="12.5"/>
    <row r="805" ht="12.5"/>
    <row r="806" ht="12.5"/>
    <row r="807" ht="12.5"/>
    <row r="808" ht="12.5"/>
    <row r="809" ht="12.5"/>
    <row r="810" ht="12.5"/>
    <row r="811" ht="12.5"/>
    <row r="812" ht="12.5"/>
    <row r="813" ht="12.5"/>
    <row r="814" ht="12.5"/>
    <row r="815" ht="12.5"/>
    <row r="816" ht="12.5"/>
    <row r="817" ht="12.5"/>
    <row r="818" ht="12.5"/>
    <row r="819" ht="12.5"/>
    <row r="820" ht="12.5"/>
    <row r="821" ht="12.5"/>
    <row r="822" ht="12.5"/>
    <row r="823" ht="12.5"/>
    <row r="824" ht="12.5"/>
    <row r="825" ht="12.5"/>
    <row r="826" ht="12.5"/>
    <row r="827" ht="12.5"/>
    <row r="828" ht="12.5"/>
    <row r="829" ht="12.5"/>
    <row r="830" ht="12.5"/>
    <row r="831" ht="12.5"/>
    <row r="832" ht="12.5"/>
    <row r="833" ht="12.5"/>
    <row r="834" ht="12.5"/>
    <row r="835" ht="12.5"/>
    <row r="836" ht="12.5"/>
    <row r="837" ht="12.5"/>
    <row r="838" ht="12.5"/>
    <row r="839" ht="12.5"/>
    <row r="840" ht="12.5"/>
    <row r="841" ht="12.5"/>
    <row r="842" ht="12.5"/>
    <row r="843" ht="12.5"/>
    <row r="844" ht="12.5"/>
    <row r="845" ht="12.5"/>
    <row r="846" ht="12.5"/>
    <row r="847" ht="12.5"/>
    <row r="848" ht="12.5"/>
    <row r="849" ht="12.5"/>
    <row r="850" ht="12.5"/>
    <row r="851" ht="12.5"/>
    <row r="852" ht="12.5"/>
    <row r="853" ht="12.5"/>
    <row r="854" ht="12.5"/>
    <row r="855" ht="12.5"/>
    <row r="856" ht="12.5"/>
    <row r="857" ht="12.5"/>
    <row r="858" ht="12.5"/>
    <row r="859" ht="12.5"/>
    <row r="860" ht="12.5"/>
    <row r="861" ht="12.5"/>
    <row r="862" ht="12.5"/>
    <row r="863" ht="12.5"/>
    <row r="864" ht="12.5"/>
    <row r="865" ht="12.5"/>
    <row r="866" ht="12.5"/>
    <row r="867" ht="12.5"/>
    <row r="868" ht="12.5"/>
    <row r="869" ht="12.5"/>
    <row r="870" ht="12.5"/>
    <row r="871" ht="12.5"/>
    <row r="872" ht="12.5"/>
    <row r="873" ht="12.5"/>
    <row r="874" ht="12.5"/>
    <row r="875" ht="12.5"/>
    <row r="876" ht="12.5"/>
    <row r="877" ht="12.5"/>
    <row r="878" ht="12.5"/>
    <row r="879" ht="12.5"/>
    <row r="880" ht="12.5"/>
    <row r="881" ht="12.5"/>
    <row r="882" ht="12.5"/>
    <row r="883" ht="12.5"/>
    <row r="884" ht="12.5"/>
    <row r="885" ht="12.5"/>
    <row r="886" ht="12.5"/>
    <row r="887" ht="12.5"/>
    <row r="888" ht="12.5"/>
    <row r="889" ht="12.5"/>
    <row r="890" ht="12.5"/>
    <row r="891" ht="12.5"/>
    <row r="892" ht="12.5"/>
    <row r="893" ht="12.5"/>
    <row r="894" ht="12.5"/>
    <row r="895" ht="12.5"/>
    <row r="896" ht="12.5"/>
    <row r="897" ht="12.5"/>
    <row r="898" ht="12.5"/>
    <row r="899" ht="12.5"/>
    <row r="900" ht="12.5"/>
    <row r="901" ht="12.5"/>
    <row r="902" ht="12.5"/>
    <row r="903" ht="12.5"/>
    <row r="904" ht="12.5"/>
    <row r="905" ht="12.5"/>
    <row r="906" ht="12.5"/>
    <row r="907" ht="12.5"/>
    <row r="908" ht="12.5"/>
    <row r="909" ht="12.5"/>
    <row r="910" ht="12.5"/>
    <row r="911" ht="12.5"/>
    <row r="912" ht="12.5"/>
    <row r="913" ht="12.5"/>
    <row r="914" ht="12.5"/>
    <row r="915" ht="12.5"/>
    <row r="916" ht="12.5"/>
    <row r="917" ht="12.5"/>
    <row r="918" ht="12.5"/>
    <row r="919" ht="12.5"/>
    <row r="920" ht="12.5"/>
    <row r="921" ht="12.5"/>
    <row r="922" ht="12.5"/>
    <row r="923" ht="12.5"/>
    <row r="924" ht="12.5"/>
    <row r="925" ht="12.5"/>
    <row r="926" ht="12.5"/>
    <row r="927" ht="12.5"/>
    <row r="928" ht="12.5"/>
    <row r="929" ht="12.5"/>
    <row r="930" ht="12.5"/>
    <row r="931" ht="12.5"/>
    <row r="932" ht="12.5"/>
    <row r="933" ht="12.5"/>
    <row r="934" ht="12.5"/>
    <row r="935" ht="12.5"/>
    <row r="936" ht="12.5"/>
    <row r="937" ht="12.5"/>
    <row r="938" ht="12.5"/>
    <row r="939" ht="12.5"/>
    <row r="940" ht="12.5"/>
    <row r="941" ht="12.5"/>
    <row r="942" ht="12.5"/>
    <row r="943" ht="12.5"/>
    <row r="944" ht="12.5"/>
    <row r="945" ht="12.5"/>
    <row r="946" ht="12.5"/>
    <row r="947" ht="12.5"/>
    <row r="948" ht="12.5"/>
    <row r="949" ht="12.5"/>
    <row r="950" ht="12.5"/>
    <row r="951" ht="12.5"/>
    <row r="952" ht="12.5"/>
    <row r="953" ht="12.5"/>
    <row r="954" ht="12.5"/>
    <row r="955" ht="12.5"/>
    <row r="956" ht="12.5"/>
    <row r="957" ht="12.5"/>
    <row r="958" ht="12.5"/>
    <row r="959" ht="12.5"/>
    <row r="960" ht="12.5"/>
    <row r="961" ht="12.5"/>
    <row r="962" ht="12.5"/>
    <row r="963" ht="12.5"/>
    <row r="964" ht="12.5"/>
    <row r="965" ht="12.5"/>
    <row r="966" ht="12.5"/>
    <row r="967" ht="12.5"/>
    <row r="968" ht="12.5"/>
    <row r="969" ht="12.5"/>
    <row r="970" ht="12.5"/>
    <row r="971" ht="12.5"/>
    <row r="972" ht="12.5"/>
    <row r="973" ht="12.5"/>
    <row r="974" ht="12.5"/>
    <row r="975" ht="12.5"/>
    <row r="976" ht="12.5"/>
    <row r="977" ht="12.5"/>
    <row r="978" ht="12.5"/>
    <row r="979" ht="12.5"/>
    <row r="980" ht="12.5"/>
    <row r="981" ht="12.5"/>
    <row r="982" ht="12.5"/>
    <row r="983" ht="12.5"/>
    <row r="984" ht="12.5"/>
    <row r="985" ht="12.5"/>
    <row r="986" ht="12.5"/>
    <row r="987" ht="12.5"/>
    <row r="988" ht="12.5"/>
    <row r="989" ht="12.5"/>
    <row r="990" ht="12.5"/>
    <row r="991" ht="12.5"/>
    <row r="992" ht="12.5"/>
    <row r="993" ht="12.5"/>
    <row r="994" ht="12.5"/>
    <row r="995" ht="12.5"/>
    <row r="996" ht="12.5"/>
    <row r="997" ht="12.5"/>
    <row r="998" ht="12.5"/>
    <row r="999" ht="12.5"/>
    <row r="1000" ht="12.5"/>
  </sheetData>
  <mergeCells count="16">
    <mergeCell ref="Z19:Z20"/>
    <mergeCell ref="X3:X4"/>
    <mergeCell ref="Y3:Y4"/>
    <mergeCell ref="A49:C49"/>
    <mergeCell ref="A56:C56"/>
    <mergeCell ref="A19:A20"/>
    <mergeCell ref="B19:B20"/>
    <mergeCell ref="C19:C20"/>
    <mergeCell ref="D19:D20"/>
    <mergeCell ref="E19:H19"/>
    <mergeCell ref="Y19:Y20"/>
    <mergeCell ref="A3:A4"/>
    <mergeCell ref="B3:B4"/>
    <mergeCell ref="C3:C4"/>
    <mergeCell ref="D3:D4"/>
    <mergeCell ref="E3:H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JUNE'25</vt:lpstr>
      <vt:lpstr>SEPTEMBER'25</vt:lpstr>
      <vt:lpstr>OCTOBER'25</vt:lpstr>
      <vt:lpstr>NOVEMBER'25 (2)</vt:lpstr>
      <vt:lpstr>MARCH'26</vt:lpstr>
      <vt:lpstr>FEBRUARY'26</vt:lpstr>
      <vt:lpstr>JANUARY'26</vt:lpstr>
      <vt:lpstr>AUGUST'25</vt:lpstr>
      <vt:lpstr>JULY'25</vt:lpstr>
      <vt:lpstr>APRIL</vt:lpstr>
      <vt:lpstr>MARCH</vt:lpstr>
      <vt:lpstr>JAN'25</vt:lpstr>
      <vt:lpstr>FEB24</vt:lpstr>
      <vt:lpstr>MAR24</vt:lpstr>
      <vt:lpstr>APR24</vt:lpstr>
      <vt:lpstr>MAY24</vt:lpstr>
      <vt:lpstr>JUN24</vt:lpstr>
      <vt:lpstr>JUL24</vt:lpstr>
      <vt:lpstr>AUG24</vt:lpstr>
      <vt:lpstr>SEP24</vt:lpstr>
      <vt:lpstr>OCT24</vt:lpstr>
      <vt:lpstr>NOV24</vt:lpstr>
      <vt:lpstr>DEC24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Tapan Kumar</dc:creator>
  <cp:keywords/>
  <dc:description/>
  <cp:lastModifiedBy>Tapan Kumar</cp:lastModifiedBy>
  <cp:revision/>
  <dcterms:created xsi:type="dcterms:W3CDTF">2025-03-26T11:28:04Z</dcterms:created>
  <dcterms:modified xsi:type="dcterms:W3CDTF">2026-04-23T18:47:25Z</dcterms:modified>
  <cp:category/>
  <cp:contentStatus/>
</cp:coreProperties>
</file>