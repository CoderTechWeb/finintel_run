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narayanaswamy/Documents/hackaton/finintel_run/sample_data/"/>
    </mc:Choice>
  </mc:AlternateContent>
  <xr:revisionPtr revIDLastSave="0" documentId="13_ncr:1_{34AD4C8E-99FA-BC43-9909-56C2CACBC0E2}" xr6:coauthVersionLast="47" xr6:coauthVersionMax="47" xr10:uidLastSave="{00000000-0000-0000-0000-000000000000}"/>
  <bookViews>
    <workbookView xWindow="0" yWindow="760" windowWidth="34560" windowHeight="2024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FEB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23" l="1"/>
  <c r="C56" i="23"/>
  <c r="C55" i="23"/>
  <c r="B50" i="23"/>
  <c r="C49" i="23"/>
  <c r="C48" i="23"/>
  <c r="C50" i="23" s="1"/>
  <c r="B43" i="23"/>
  <c r="C43" i="23" s="1"/>
  <c r="D43" i="23" s="1"/>
  <c r="B42" i="23"/>
  <c r="C42" i="23" s="1"/>
  <c r="D42" i="23" s="1"/>
  <c r="B41" i="23"/>
  <c r="C41" i="23" s="1"/>
  <c r="D41" i="23" s="1"/>
  <c r="B40" i="23"/>
  <c r="C40" i="23" s="1"/>
  <c r="D40" i="23" s="1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Y25" i="23"/>
  <c r="G25" i="23"/>
  <c r="F25" i="23" s="1"/>
  <c r="E25" i="23"/>
  <c r="D25" i="23" s="1"/>
  <c r="Y24" i="23"/>
  <c r="G24" i="23"/>
  <c r="F24" i="23" s="1"/>
  <c r="E24" i="23"/>
  <c r="D24" i="23"/>
  <c r="Y23" i="23"/>
  <c r="G23" i="23"/>
  <c r="F23" i="23" s="1"/>
  <c r="E23" i="23"/>
  <c r="D23" i="23"/>
  <c r="Y22" i="23"/>
  <c r="G22" i="23"/>
  <c r="F22" i="23"/>
  <c r="E22" i="23"/>
  <c r="D22" i="23"/>
  <c r="Y21" i="23"/>
  <c r="G21" i="23"/>
  <c r="F21" i="23" s="1"/>
  <c r="E21" i="23"/>
  <c r="D21" i="23" s="1"/>
  <c r="Y20" i="23"/>
  <c r="G20" i="23"/>
  <c r="F20" i="23" s="1"/>
  <c r="E20" i="23"/>
  <c r="D20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X10" i="23"/>
  <c r="G10" i="23"/>
  <c r="E10" i="23"/>
  <c r="D10" i="23"/>
  <c r="X9" i="23"/>
  <c r="G9" i="23"/>
  <c r="F9" i="23" s="1"/>
  <c r="E9" i="23"/>
  <c r="D9" i="23" s="1"/>
  <c r="X8" i="23"/>
  <c r="G8" i="23"/>
  <c r="F8" i="23" s="1"/>
  <c r="E8" i="23"/>
  <c r="C37" i="23" s="1"/>
  <c r="D8" i="23"/>
  <c r="X7" i="23"/>
  <c r="G7" i="23"/>
  <c r="F7" i="23"/>
  <c r="E7" i="23"/>
  <c r="D7" i="23"/>
  <c r="X6" i="23"/>
  <c r="G6" i="23"/>
  <c r="F6" i="23" s="1"/>
  <c r="E6" i="23"/>
  <c r="D6" i="23" s="1"/>
  <c r="X5" i="23"/>
  <c r="G5" i="23"/>
  <c r="F5" i="23"/>
  <c r="E5" i="23"/>
  <c r="D5" i="23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B35" i="23" l="1"/>
  <c r="D35" i="23" s="1"/>
  <c r="B39" i="23"/>
  <c r="D39" i="23" s="1"/>
  <c r="C39" i="23"/>
  <c r="F30" i="23"/>
  <c r="C36" i="23"/>
  <c r="B36" i="23"/>
  <c r="D36" i="23" s="1"/>
  <c r="B38" i="23"/>
  <c r="D38" i="23" s="1"/>
  <c r="F10" i="23"/>
  <c r="C57" i="23"/>
  <c r="C59" i="23" s="1"/>
  <c r="B37" i="23"/>
  <c r="D37" i="23" s="1"/>
  <c r="D30" i="23"/>
  <c r="D15" i="23"/>
  <c r="E30" i="23"/>
  <c r="G15" i="23"/>
  <c r="C35" i="23"/>
  <c r="C38" i="23"/>
  <c r="G30" i="23"/>
  <c r="I4" i="23"/>
  <c r="J3" i="23"/>
  <c r="C34" i="23"/>
  <c r="E15" i="23"/>
  <c r="B34" i="23"/>
  <c r="D34" i="23" s="1"/>
  <c r="F15" i="23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8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19" i="23" l="1"/>
  <c r="J18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19" i="23" l="1"/>
  <c r="K18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19" i="23" l="1"/>
  <c r="L18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19" i="23" l="1"/>
  <c r="M18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19" i="23" l="1"/>
  <c r="N18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19" i="23" l="1"/>
  <c r="O18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19" i="23" l="1"/>
  <c r="P18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19" i="23" l="1"/>
  <c r="Q18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19" i="23" l="1"/>
  <c r="R18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19" i="23" l="1"/>
  <c r="S18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19" i="23" l="1"/>
  <c r="T18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19" i="23" l="1"/>
  <c r="U18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19" i="23" l="1"/>
  <c r="V18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W18" i="23" l="1"/>
  <c r="V19" i="23"/>
  <c r="V19" i="2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3" l="1"/>
  <c r="X18" i="23"/>
  <c r="X19" i="23" s="1"/>
  <c r="W19" i="20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<sst xmlns="http://schemas.openxmlformats.org/spreadsheetml/2006/main" count="1780" uniqueCount="52">
  <si>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</si>
  <si>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</si>
  <si>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</si>
  <si>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</si>
  <si>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</si>
  <si>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</si>
  <si>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</si>
  <si>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</si>
  <si>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</si>
  <si>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</si>
  <si>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</si>
  <si>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</si>
  <si>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</si>
  <si>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</si>
  <si>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</si>
  <si>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</si>
  <si>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</si>
  <si>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</si>
  <si>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</si>
  <si>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</si>
  <si>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</si>
  <si>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</si>
  <si>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</si>
  <si>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</si>
  <si>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</si>
  <si>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</si>
  <si>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</si>
  <si>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</si>
  <si>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</si>
  <si>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</si>
  <si>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</si>
  <si>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</si>
  <si>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</si>
  <si>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</si>
  <si>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</si>
  <si>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</si>
  <si>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</si>
  <si>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</si>
  <si>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</si>
  <si>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cost_rate</t>
  </si>
  <si>
    <t>Ramesh</t>
  </si>
  <si>
    <t>Suresh</t>
  </si>
  <si>
    <t>Ajay</t>
  </si>
  <si>
    <t>Vishal</t>
  </si>
  <si>
    <t>Raja</t>
  </si>
  <si>
    <t>Delta</t>
  </si>
  <si>
    <t>John</t>
  </si>
  <si>
    <t>Jared</t>
  </si>
  <si>
    <t>James</t>
  </si>
  <si>
    <t>Mukesh</t>
  </si>
  <si>
    <t>Arun</t>
  </si>
  <si>
    <t>Balaji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</si>
</sst>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167" fontId="21" fillId="18" borderId="4" xfId="0" applyNumberFormat="1" applyFont="1" applyFill="1" applyBorder="1" applyAlignment="1">
      <alignment horizontal="center" vertical="center"/>
    </xf>
    <xf numFmtId="167" fontId="23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1" fillId="0" borderId="33" xfId="0" applyFont="1" applyBorder="1" applyAlignment="1">
      <alignment vertical="top" wrapText="1"/>
    </xf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3"/>
      <c r="G3" s="263"/>
      <c r="H3" s="264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60" t="s">
        <v>6</v>
      </c>
      <c r="Y3" s="260" t="s">
        <v>7</v>
      </c>
      <c r="Z3" s="120"/>
      <c r="AA3" s="114"/>
      <c r="AB3" s="114"/>
    </row>
    <row r="4" spans="1:35" ht="27" customHeight="1">
      <c r="A4" s="261"/>
      <c r="B4" s="261"/>
      <c r="C4" s="261"/>
      <c r="D4" s="261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61"/>
      <c r="Y4" s="261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3"/>
      <c r="G18" s="263"/>
      <c r="H18" s="264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60" t="s">
        <v>6</v>
      </c>
      <c r="Z18" s="260" t="s">
        <v>7</v>
      </c>
      <c r="AA18" s="120"/>
      <c r="AB18" s="114"/>
    </row>
    <row r="19" spans="1:29" ht="26.25" customHeight="1">
      <c r="A19" s="261"/>
      <c r="B19" s="261"/>
      <c r="C19" s="261"/>
      <c r="D19" s="261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61"/>
      <c r="Z19" s="261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7"/>
  <sheetViews>
    <sheetView showGridLines="0" tabSelected="1" workbookViewId="0">
      <pane xSplit="2" topLeftCell="C1" activePane="topRight" state="frozen"/>
      <selection pane="topRight" activeCell="C2" sqref="C2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9.1640625" style="115" customWidth="1"/>
    <col min="6" max="6" width="8.8320312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46055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46055</v>
      </c>
      <c r="J3" s="141">
        <f t="shared" ref="J3:W3" si="0">I3+1</f>
        <v>46056</v>
      </c>
      <c r="K3" s="141">
        <f t="shared" si="0"/>
        <v>46057</v>
      </c>
      <c r="L3" s="141">
        <f t="shared" si="0"/>
        <v>46058</v>
      </c>
      <c r="M3" s="141">
        <f t="shared" si="0"/>
        <v>46059</v>
      </c>
      <c r="N3" s="141">
        <f t="shared" si="0"/>
        <v>46060</v>
      </c>
      <c r="O3" s="141">
        <f t="shared" si="0"/>
        <v>46061</v>
      </c>
      <c r="P3" s="141">
        <f t="shared" si="0"/>
        <v>46062</v>
      </c>
      <c r="Q3" s="141">
        <f t="shared" si="0"/>
        <v>46063</v>
      </c>
      <c r="R3" s="141">
        <f t="shared" si="0"/>
        <v>46064</v>
      </c>
      <c r="S3" s="141">
        <f t="shared" si="0"/>
        <v>46065</v>
      </c>
      <c r="T3" s="141">
        <f t="shared" si="0"/>
        <v>46066</v>
      </c>
      <c r="U3" s="141">
        <f t="shared" si="0"/>
        <v>46067</v>
      </c>
      <c r="V3" s="141">
        <f t="shared" si="0"/>
        <v>46068</v>
      </c>
      <c r="W3" s="141">
        <f t="shared" si="0"/>
        <v>46069</v>
      </c>
      <c r="X3" s="254" t="s">
        <v>6</v>
      </c>
      <c r="Y3" s="254" t="s">
        <v>7</v>
      </c>
      <c r="Z3" s="209"/>
      <c r="AA3" s="210"/>
      <c r="AB3" s="114"/>
    </row>
    <row r="4" spans="1:35" ht="27" customHeight="1" thickBo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55"/>
      <c r="Y4" s="25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46</v>
      </c>
      <c r="B5" s="132" t="s">
        <v>45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45"/>
      <c r="P5" s="245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45"/>
      <c r="W5" s="245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47</v>
      </c>
      <c r="B6" s="132" t="s">
        <v>45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245"/>
      <c r="J6" s="183">
        <v>8</v>
      </c>
      <c r="K6" s="183">
        <v>8</v>
      </c>
      <c r="L6" s="183">
        <v>8</v>
      </c>
      <c r="M6" s="183">
        <v>8</v>
      </c>
      <c r="N6" s="183">
        <v>8</v>
      </c>
      <c r="O6" s="245"/>
      <c r="P6" s="245"/>
      <c r="Q6" s="183">
        <v>8</v>
      </c>
      <c r="R6" s="183">
        <v>8</v>
      </c>
      <c r="S6" s="183">
        <v>8</v>
      </c>
      <c r="T6" s="183">
        <v>8</v>
      </c>
      <c r="U6" s="183">
        <v>8</v>
      </c>
      <c r="V6" s="245"/>
      <c r="W6" s="245"/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48</v>
      </c>
      <c r="B7" s="132" t="s">
        <v>45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45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45"/>
      <c r="P7" s="245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45"/>
      <c r="W7" s="245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49</v>
      </c>
      <c r="B8" s="132" t="s">
        <v>45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45"/>
      <c r="J8" s="183">
        <v>8</v>
      </c>
      <c r="K8" s="243">
        <v>8</v>
      </c>
      <c r="L8" s="243">
        <v>8</v>
      </c>
      <c r="M8" s="183">
        <v>8</v>
      </c>
      <c r="N8" s="243">
        <v>8</v>
      </c>
      <c r="O8" s="245"/>
      <c r="P8" s="245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45"/>
      <c r="W8" s="24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50</v>
      </c>
      <c r="B9" s="132" t="s">
        <v>45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45"/>
      <c r="J9" s="241">
        <v>8</v>
      </c>
      <c r="K9" s="183">
        <v>8</v>
      </c>
      <c r="L9" s="183">
        <v>8</v>
      </c>
      <c r="M9" s="183">
        <v>8</v>
      </c>
      <c r="N9" s="183">
        <v>8</v>
      </c>
      <c r="O9" s="246"/>
      <c r="P9" s="245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45"/>
      <c r="W9" s="245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51</v>
      </c>
      <c r="B10" s="132" t="s">
        <v>45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245"/>
      <c r="J10" s="241">
        <v>8</v>
      </c>
      <c r="K10" s="241">
        <v>8</v>
      </c>
      <c r="L10" s="241">
        <v>8</v>
      </c>
      <c r="M10" s="241">
        <v>8</v>
      </c>
      <c r="N10" s="241">
        <v>8</v>
      </c>
      <c r="O10" s="245"/>
      <c r="P10" s="245"/>
      <c r="Q10" s="241">
        <v>8</v>
      </c>
      <c r="R10" s="241">
        <v>8</v>
      </c>
      <c r="S10" s="241">
        <v>8</v>
      </c>
      <c r="T10" s="241">
        <v>8</v>
      </c>
      <c r="U10" s="241">
        <v>8</v>
      </c>
      <c r="V10" s="245"/>
      <c r="W10" s="245"/>
      <c r="X10" s="134">
        <f t="shared" si="6"/>
        <v>0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480</v>
      </c>
      <c r="G15" s="224">
        <f t="shared" si="8"/>
        <v>480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0</v>
      </c>
      <c r="P15" s="224">
        <f t="shared" si="8"/>
        <v>0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46070</v>
      </c>
      <c r="J18" s="141">
        <f t="shared" ref="J18:U18" si="9">I18+1</f>
        <v>46071</v>
      </c>
      <c r="K18" s="141">
        <f t="shared" si="9"/>
        <v>46072</v>
      </c>
      <c r="L18" s="141">
        <f t="shared" si="9"/>
        <v>46073</v>
      </c>
      <c r="M18" s="141">
        <f t="shared" si="9"/>
        <v>46074</v>
      </c>
      <c r="N18" s="141">
        <f t="shared" si="9"/>
        <v>46075</v>
      </c>
      <c r="O18" s="141">
        <f t="shared" si="9"/>
        <v>46076</v>
      </c>
      <c r="P18" s="141">
        <f t="shared" si="9"/>
        <v>46077</v>
      </c>
      <c r="Q18" s="141">
        <f t="shared" si="9"/>
        <v>46078</v>
      </c>
      <c r="R18" s="141">
        <f t="shared" si="9"/>
        <v>46079</v>
      </c>
      <c r="S18" s="141">
        <f t="shared" si="9"/>
        <v>46080</v>
      </c>
      <c r="T18" s="141">
        <f t="shared" si="9"/>
        <v>46081</v>
      </c>
      <c r="U18" s="141">
        <f t="shared" si="9"/>
        <v>46082</v>
      </c>
      <c r="V18" s="141">
        <f t="shared" ref="V18" si="10">U18+1</f>
        <v>46083</v>
      </c>
      <c r="W18" s="141">
        <f t="shared" ref="W18" si="11">V18+1</f>
        <v>46084</v>
      </c>
      <c r="X18" s="141">
        <f t="shared" ref="X18" si="12">W18+1</f>
        <v>46085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3">IF(I18="","",TEXT(WEEKDAY(I18), "ddd"))</f>
        <v>Tue</v>
      </c>
      <c r="J19" s="222" t="str">
        <f t="shared" si="13"/>
        <v>Wed</v>
      </c>
      <c r="K19" s="222" t="str">
        <f t="shared" si="13"/>
        <v>Thu</v>
      </c>
      <c r="L19" s="222" t="str">
        <f t="shared" si="13"/>
        <v>Fri</v>
      </c>
      <c r="M19" s="222" t="str">
        <f t="shared" si="13"/>
        <v>Sat</v>
      </c>
      <c r="N19" s="222" t="str">
        <f t="shared" si="13"/>
        <v>Sun</v>
      </c>
      <c r="O19" s="222" t="str">
        <f t="shared" si="13"/>
        <v>Mon</v>
      </c>
      <c r="P19" s="127" t="str">
        <f t="shared" si="13"/>
        <v>Tue</v>
      </c>
      <c r="Q19" s="127" t="str">
        <f t="shared" si="13"/>
        <v>Wed</v>
      </c>
      <c r="R19" s="222" t="str">
        <f t="shared" si="13"/>
        <v>Thu</v>
      </c>
      <c r="S19" s="222" t="str">
        <f t="shared" si="13"/>
        <v>Fri</v>
      </c>
      <c r="T19" s="222" t="str">
        <f t="shared" si="13"/>
        <v>Sat</v>
      </c>
      <c r="U19" s="222" t="str">
        <f t="shared" si="13"/>
        <v>Sun</v>
      </c>
      <c r="V19" s="222" t="str">
        <f t="shared" ref="V19:X19" si="14">IF(V18="","",TEXT(WEEKDAY(V18), "ddd"))</f>
        <v>Mon</v>
      </c>
      <c r="W19" s="222" t="str">
        <f t="shared" si="14"/>
        <v>Tue</v>
      </c>
      <c r="X19" s="222" t="str">
        <f t="shared" si="14"/>
        <v>Wed</v>
      </c>
      <c r="Y19" s="255"/>
      <c r="Z19" s="255"/>
      <c r="AA19" s="209"/>
      <c r="AB19" s="114"/>
    </row>
    <row r="20" spans="1:29" ht="12.75" customHeight="1">
      <c r="A20" s="131" t="s">
        <v>46</v>
      </c>
      <c r="B20" s="132" t="s">
        <v>45</v>
      </c>
      <c r="C20" s="133">
        <v>43437</v>
      </c>
      <c r="D20" s="134">
        <f t="shared" ref="D20:D25" si="15">E20</f>
        <v>96</v>
      </c>
      <c r="E20" s="134">
        <f t="shared" ref="E20:E25" si="16">Z20*8</f>
        <v>96</v>
      </c>
      <c r="F20" s="134">
        <f t="shared" ref="F20:F25" si="17">G20+H20</f>
        <v>96</v>
      </c>
      <c r="G20" s="134">
        <f t="shared" ref="G20:G25" si="18">SUM(I20:X20)</f>
        <v>96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247"/>
      <c r="O20" s="247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247"/>
      <c r="V20" s="245"/>
      <c r="W20" s="183">
        <v>8</v>
      </c>
      <c r="X20" s="180">
        <v>8</v>
      </c>
      <c r="Y20" s="134">
        <f t="shared" ref="Y20:Y25" si="19">Z20-COUNTA(I20:X20)</f>
        <v>0</v>
      </c>
      <c r="Z20" s="136">
        <v>12</v>
      </c>
      <c r="AA20" s="209"/>
      <c r="AB20" s="114"/>
    </row>
    <row r="21" spans="1:29" ht="12.75" customHeight="1">
      <c r="A21" s="131" t="s">
        <v>47</v>
      </c>
      <c r="B21" s="132" t="s">
        <v>45</v>
      </c>
      <c r="C21" s="133">
        <v>45028</v>
      </c>
      <c r="D21" s="134">
        <f t="shared" si="15"/>
        <v>96</v>
      </c>
      <c r="E21" s="134">
        <f t="shared" si="16"/>
        <v>96</v>
      </c>
      <c r="F21" s="134">
        <f t="shared" si="17"/>
        <v>88</v>
      </c>
      <c r="G21" s="134">
        <f t="shared" si="18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247"/>
      <c r="O21" s="245"/>
      <c r="P21" s="186"/>
      <c r="Q21" s="180">
        <v>8</v>
      </c>
      <c r="R21" s="183">
        <v>8</v>
      </c>
      <c r="S21" s="180">
        <v>8</v>
      </c>
      <c r="T21" s="180">
        <v>8</v>
      </c>
      <c r="U21" s="247"/>
      <c r="V21" s="245"/>
      <c r="W21" s="180">
        <v>8</v>
      </c>
      <c r="X21" s="180">
        <v>8</v>
      </c>
      <c r="Y21" s="134">
        <f t="shared" si="19"/>
        <v>1</v>
      </c>
      <c r="Z21" s="136">
        <v>12</v>
      </c>
      <c r="AA21" s="209"/>
      <c r="AB21" s="114"/>
    </row>
    <row r="22" spans="1:29" ht="12.75" customHeight="1">
      <c r="A22" s="131" t="s">
        <v>48</v>
      </c>
      <c r="B22" s="132" t="s">
        <v>45</v>
      </c>
      <c r="C22" s="133">
        <v>43395</v>
      </c>
      <c r="D22" s="134">
        <f t="shared" si="15"/>
        <v>96</v>
      </c>
      <c r="E22" s="134">
        <f t="shared" si="16"/>
        <v>96</v>
      </c>
      <c r="F22" s="134">
        <f t="shared" si="17"/>
        <v>96</v>
      </c>
      <c r="G22" s="134">
        <f t="shared" si="18"/>
        <v>96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80">
        <v>8</v>
      </c>
      <c r="N22" s="247"/>
      <c r="O22" s="247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247"/>
      <c r="V22" s="247"/>
      <c r="W22" s="180">
        <v>8</v>
      </c>
      <c r="X22" s="180">
        <v>8</v>
      </c>
      <c r="Y22" s="134">
        <f t="shared" si="19"/>
        <v>0</v>
      </c>
      <c r="Z22" s="136">
        <v>12</v>
      </c>
      <c r="AA22" s="209"/>
      <c r="AB22" s="114"/>
    </row>
    <row r="23" spans="1:29" ht="12.75" customHeight="1">
      <c r="A23" s="131" t="s">
        <v>49</v>
      </c>
      <c r="B23" s="132" t="s">
        <v>45</v>
      </c>
      <c r="C23" s="138">
        <v>43741</v>
      </c>
      <c r="D23" s="134">
        <f t="shared" si="15"/>
        <v>96</v>
      </c>
      <c r="E23" s="134">
        <f t="shared" si="16"/>
        <v>96</v>
      </c>
      <c r="F23" s="134">
        <f t="shared" si="17"/>
        <v>88</v>
      </c>
      <c r="G23" s="134">
        <f t="shared" si="18"/>
        <v>88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247"/>
      <c r="O23" s="245"/>
      <c r="P23" s="183">
        <v>8</v>
      </c>
      <c r="Q23" s="180">
        <v>8</v>
      </c>
      <c r="R23" s="183">
        <v>8</v>
      </c>
      <c r="S23" s="180">
        <v>8</v>
      </c>
      <c r="T23" s="186"/>
      <c r="U23" s="247"/>
      <c r="V23" s="245"/>
      <c r="W23" s="183">
        <v>8</v>
      </c>
      <c r="X23" s="180">
        <v>8</v>
      </c>
      <c r="Y23" s="134">
        <f t="shared" si="19"/>
        <v>1</v>
      </c>
      <c r="Z23" s="136">
        <v>12</v>
      </c>
      <c r="AA23" s="209"/>
      <c r="AB23" s="114"/>
    </row>
    <row r="24" spans="1:29" ht="12.75" customHeight="1">
      <c r="A24" s="139" t="s">
        <v>50</v>
      </c>
      <c r="B24" s="132" t="s">
        <v>45</v>
      </c>
      <c r="C24" s="138">
        <v>43731</v>
      </c>
      <c r="D24" s="134">
        <f t="shared" si="15"/>
        <v>96</v>
      </c>
      <c r="E24" s="134">
        <f t="shared" si="16"/>
        <v>96</v>
      </c>
      <c r="F24" s="134">
        <f t="shared" si="17"/>
        <v>88</v>
      </c>
      <c r="G24" s="134">
        <f t="shared" si="18"/>
        <v>88</v>
      </c>
      <c r="H24" s="135">
        <v>0</v>
      </c>
      <c r="I24" s="180">
        <v>8</v>
      </c>
      <c r="J24" s="180">
        <v>8</v>
      </c>
      <c r="K24" s="180">
        <v>8</v>
      </c>
      <c r="L24" s="237"/>
      <c r="M24" s="180">
        <v>8</v>
      </c>
      <c r="N24" s="247"/>
      <c r="O24" s="247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247"/>
      <c r="V24" s="247"/>
      <c r="W24" s="180">
        <v>8</v>
      </c>
      <c r="X24" s="180">
        <v>8</v>
      </c>
      <c r="Y24" s="134">
        <f t="shared" si="19"/>
        <v>1</v>
      </c>
      <c r="Z24" s="136">
        <v>12</v>
      </c>
      <c r="AA24" s="209"/>
      <c r="AB24" s="114"/>
    </row>
    <row r="25" spans="1:29" ht="12.75" customHeight="1">
      <c r="A25" s="139" t="s">
        <v>51</v>
      </c>
      <c r="B25" s="132" t="s">
        <v>45</v>
      </c>
      <c r="C25" s="138">
        <v>45628</v>
      </c>
      <c r="D25" s="134">
        <f t="shared" si="15"/>
        <v>96</v>
      </c>
      <c r="E25" s="134">
        <f t="shared" si="16"/>
        <v>96</v>
      </c>
      <c r="F25" s="134">
        <f t="shared" si="17"/>
        <v>72</v>
      </c>
      <c r="G25" s="134">
        <f t="shared" si="18"/>
        <v>72</v>
      </c>
      <c r="H25" s="135">
        <v>0</v>
      </c>
      <c r="I25" s="241">
        <v>8</v>
      </c>
      <c r="J25" s="241">
        <v>8</v>
      </c>
      <c r="K25" s="241">
        <v>8</v>
      </c>
      <c r="L25" s="237"/>
      <c r="M25" s="237"/>
      <c r="N25" s="245"/>
      <c r="O25" s="245"/>
      <c r="P25" s="241">
        <v>8</v>
      </c>
      <c r="Q25" s="241">
        <v>8</v>
      </c>
      <c r="R25" s="237"/>
      <c r="S25" s="241">
        <v>8</v>
      </c>
      <c r="T25" s="241">
        <v>8</v>
      </c>
      <c r="U25" s="245"/>
      <c r="V25" s="245"/>
      <c r="W25" s="241">
        <v>8</v>
      </c>
      <c r="X25" s="241">
        <v>8</v>
      </c>
      <c r="Y25" s="134">
        <f t="shared" si="19"/>
        <v>3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20">SUM(D20:D29)</f>
        <v>576</v>
      </c>
      <c r="E30" s="224">
        <f t="shared" si="20"/>
        <v>576</v>
      </c>
      <c r="F30" s="224">
        <f t="shared" si="20"/>
        <v>528</v>
      </c>
      <c r="G30" s="224">
        <f t="shared" si="20"/>
        <v>528</v>
      </c>
      <c r="H30" s="224">
        <f t="shared" si="20"/>
        <v>0</v>
      </c>
      <c r="I30" s="224">
        <f t="shared" si="20"/>
        <v>48</v>
      </c>
      <c r="J30" s="224">
        <f t="shared" si="20"/>
        <v>48</v>
      </c>
      <c r="K30" s="224">
        <f t="shared" si="20"/>
        <v>48</v>
      </c>
      <c r="L30" s="224">
        <f t="shared" si="20"/>
        <v>32</v>
      </c>
      <c r="M30" s="224">
        <f t="shared" si="20"/>
        <v>40</v>
      </c>
      <c r="N30" s="224">
        <f t="shared" si="20"/>
        <v>0</v>
      </c>
      <c r="O30" s="224">
        <f t="shared" si="20"/>
        <v>0</v>
      </c>
      <c r="P30" s="224">
        <f t="shared" si="20"/>
        <v>40</v>
      </c>
      <c r="Q30" s="224">
        <f t="shared" si="20"/>
        <v>48</v>
      </c>
      <c r="R30" s="224">
        <f t="shared" si="20"/>
        <v>40</v>
      </c>
      <c r="S30" s="224">
        <f t="shared" si="20"/>
        <v>48</v>
      </c>
      <c r="T30" s="224">
        <f t="shared" si="20"/>
        <v>40</v>
      </c>
      <c r="U30" s="224">
        <f t="shared" si="20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8" t="s">
        <v>25</v>
      </c>
      <c r="E33" s="248" t="s">
        <v>38</v>
      </c>
      <c r="F33" s="248" t="s">
        <v>39</v>
      </c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31" t="s">
        <v>40</v>
      </c>
      <c r="B34" s="153">
        <f>F5+F20</f>
        <v>176</v>
      </c>
      <c r="C34" s="154">
        <f t="shared" ref="C34:C39" si="21">E5+E20</f>
        <v>176</v>
      </c>
      <c r="D34" s="249">
        <f t="shared" ref="D34:D39" si="22">B34</f>
        <v>176</v>
      </c>
      <c r="E34" s="252">
        <v>150</v>
      </c>
      <c r="F34" s="252">
        <v>113</v>
      </c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31" t="s">
        <v>41</v>
      </c>
      <c r="B35" s="153">
        <f>F6+F21</f>
        <v>168</v>
      </c>
      <c r="C35" s="154">
        <f t="shared" si="21"/>
        <v>176</v>
      </c>
      <c r="D35" s="249">
        <f t="shared" si="22"/>
        <v>168</v>
      </c>
      <c r="E35" s="252">
        <v>100</v>
      </c>
      <c r="F35" s="252">
        <v>75</v>
      </c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31" t="s">
        <v>42</v>
      </c>
      <c r="B36" s="153">
        <f>F7+F22</f>
        <v>176</v>
      </c>
      <c r="C36" s="154">
        <f t="shared" si="21"/>
        <v>176</v>
      </c>
      <c r="D36" s="249">
        <f t="shared" si="22"/>
        <v>176</v>
      </c>
      <c r="E36" s="252">
        <v>100</v>
      </c>
      <c r="F36" s="252">
        <v>75</v>
      </c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31" t="s">
        <v>43</v>
      </c>
      <c r="B37" s="153">
        <f>F8+F23</f>
        <v>168</v>
      </c>
      <c r="C37" s="154">
        <f t="shared" si="21"/>
        <v>176</v>
      </c>
      <c r="D37" s="249">
        <f t="shared" si="22"/>
        <v>168</v>
      </c>
      <c r="E37" s="252">
        <v>200</v>
      </c>
      <c r="F37" s="252">
        <v>150</v>
      </c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39" t="s">
        <v>44</v>
      </c>
      <c r="B38" s="216">
        <f>F9+F24</f>
        <v>168</v>
      </c>
      <c r="C38" s="217">
        <f t="shared" si="21"/>
        <v>176</v>
      </c>
      <c r="D38" s="250">
        <f t="shared" si="22"/>
        <v>168</v>
      </c>
      <c r="E38" s="252">
        <v>70</v>
      </c>
      <c r="F38" s="253">
        <v>53</v>
      </c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 thickBot="1">
      <c r="A39" s="139" t="s">
        <v>44</v>
      </c>
      <c r="B39" s="158">
        <f>G10+G25</f>
        <v>152</v>
      </c>
      <c r="C39" s="159">
        <f t="shared" si="21"/>
        <v>176</v>
      </c>
      <c r="D39" s="251">
        <f t="shared" si="22"/>
        <v>152</v>
      </c>
      <c r="E39" s="252">
        <v>90</v>
      </c>
      <c r="F39" s="253">
        <v>68</v>
      </c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3">B40</f>
        <v>0</v>
      </c>
      <c r="D40" s="214">
        <f t="shared" si="23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3"/>
        <v>0</v>
      </c>
      <c r="D41" s="155">
        <f t="shared" si="23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3"/>
        <v>0</v>
      </c>
      <c r="D42" s="155">
        <f t="shared" si="23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3"/>
        <v>0</v>
      </c>
      <c r="D43" s="160">
        <f t="shared" si="23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4">B48-B49</f>
        <v>10</v>
      </c>
      <c r="C50" s="173">
        <f t="shared" si="24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5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5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6">B55-B56</f>
        <v>12</v>
      </c>
      <c r="C57" s="173">
        <f t="shared" si="26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54" t="s">
        <v>6</v>
      </c>
      <c r="Y3" s="254" t="s">
        <v>7</v>
      </c>
      <c r="Z3" s="209"/>
      <c r="AA3" s="210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55"/>
      <c r="Y4" s="25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9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0" width="7.5" style="115" customWidth="1"/>
    <col min="11" max="11" width="7.33203125" style="115" customWidth="1"/>
    <col min="12" max="12" width="7.83203125" style="115" customWidth="1"/>
    <col min="13" max="13" width="7.6640625" style="115" customWidth="1"/>
    <col min="14" max="15" width="7.1640625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54" t="s">
        <v>6</v>
      </c>
      <c r="Y3" s="254" t="s">
        <v>7</v>
      </c>
      <c r="Z3" s="209"/>
      <c r="AA3" s="210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55"/>
      <c r="Y4" s="255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7" style="115" customWidth="1"/>
    <col min="13" max="13" width="7.6640625" style="115" customWidth="1"/>
    <col min="14" max="14" width="7.1640625" style="115" customWidth="1"/>
    <col min="15" max="15" width="7" style="115" customWidth="1"/>
    <col min="16" max="16" width="7.33203125" style="115" customWidth="1"/>
    <col min="17" max="18" width="6.5" style="115" customWidth="1"/>
    <col min="19" max="19" width="7.33203125" style="115" customWidth="1"/>
    <col min="20" max="20" width="7.5" style="115" customWidth="1"/>
    <col min="21" max="21" width="6.6640625" style="115" customWidth="1"/>
    <col min="22" max="22" width="7.1640625" style="115" customWidth="1"/>
    <col min="23" max="23" width="7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55"/>
      <c r="G3" s="255"/>
      <c r="H3" s="255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54" t="s">
        <v>6</v>
      </c>
      <c r="Y3" s="254" t="s">
        <v>7</v>
      </c>
      <c r="Z3" s="209"/>
      <c r="AA3" s="114"/>
      <c r="AB3" s="114"/>
    </row>
    <row r="4" spans="1:35" ht="27" customHeight="1">
      <c r="A4" s="255"/>
      <c r="B4" s="255"/>
      <c r="C4" s="255"/>
      <c r="D4" s="255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55"/>
      <c r="Y4" s="255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55"/>
      <c r="G18" s="255"/>
      <c r="H18" s="255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54" t="s">
        <v>6</v>
      </c>
      <c r="Z18" s="254" t="s">
        <v>7</v>
      </c>
      <c r="AA18" s="209"/>
      <c r="AB18" s="114"/>
    </row>
    <row r="19" spans="1:29" ht="26.25" customHeight="1">
      <c r="A19" s="255"/>
      <c r="B19" s="255"/>
      <c r="C19" s="255"/>
      <c r="D19" s="255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55"/>
      <c r="Z19" s="255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4"/>
    <row r="261" s="115" customFormat="1" ht="14"/>
    <row r="262" s="115" customFormat="1" ht="14"/>
    <row r="263" s="115" customFormat="1" ht="14"/>
    <row r="264" s="115" customFormat="1" ht="14"/>
    <row r="265" s="115" customFormat="1" ht="14"/>
    <row r="266" s="115" customFormat="1" ht="14"/>
    <row r="267" s="115" customFormat="1" ht="14"/>
    <row r="268" s="115" customFormat="1" ht="14"/>
    <row r="269" s="115" customFormat="1" ht="14"/>
    <row r="270" s="115" customFormat="1" ht="14"/>
    <row r="271" s="115" customFormat="1" ht="14"/>
    <row r="272" s="115" customFormat="1" ht="14"/>
    <row r="273" s="115" customFormat="1" ht="14"/>
    <row r="274" s="115" customFormat="1" ht="14"/>
    <row r="275" s="115" customFormat="1" ht="14"/>
    <row r="276" s="115" customFormat="1" ht="14"/>
    <row r="277" s="115" customFormat="1" ht="14"/>
    <row r="278" s="115" customFormat="1" ht="14"/>
    <row r="279" s="115" customFormat="1" ht="14"/>
    <row r="280" s="115" customFormat="1" ht="14"/>
    <row r="281" s="115" customFormat="1" ht="14"/>
    <row r="282" s="115" customFormat="1" ht="14"/>
    <row r="283" s="115" customFormat="1" ht="14"/>
    <row r="284" s="115" customFormat="1" ht="14"/>
    <row r="285" s="115" customFormat="1" ht="14"/>
    <row r="286" s="115" customFormat="1" ht="14"/>
    <row r="287" s="115" customFormat="1" ht="14"/>
    <row r="288" s="115" customFormat="1" ht="14"/>
    <row r="289" s="115" customFormat="1" ht="14"/>
    <row r="290" s="115" customFormat="1" ht="14"/>
    <row r="291" s="115" customFormat="1" ht="14"/>
    <row r="292" s="115" customFormat="1" ht="14"/>
    <row r="293" s="115" customFormat="1" ht="14"/>
    <row r="294" s="115" customFormat="1" ht="14"/>
    <row r="295" s="115" customFormat="1" ht="14"/>
    <row r="296" s="115" customFormat="1" ht="14"/>
    <row r="297" s="115" customFormat="1" ht="14"/>
    <row r="298" s="115" customFormat="1" ht="14"/>
    <row r="299" s="115" customFormat="1" ht="14"/>
    <row r="300" s="115" customFormat="1" ht="14"/>
    <row r="301" s="115" customFormat="1" ht="14"/>
    <row r="302" s="115" customFormat="1" ht="14"/>
    <row r="303" s="115" customFormat="1" ht="14"/>
    <row r="304" s="115" customFormat="1" ht="14"/>
    <row r="305" s="115" customFormat="1" ht="14"/>
    <row r="306" s="115" customFormat="1" ht="14"/>
    <row r="307" s="115" customFormat="1" ht="14"/>
    <row r="308" s="115" customFormat="1" ht="14"/>
    <row r="309" s="115" customFormat="1" ht="14"/>
    <row r="310" s="115" customFormat="1" ht="14"/>
    <row r="311" s="115" customFormat="1" ht="14"/>
    <row r="312" s="115" customFormat="1" ht="14"/>
    <row r="313" s="115" customFormat="1" ht="14"/>
    <row r="314" s="115" customFormat="1" ht="14"/>
    <row r="315" s="115" customFormat="1" ht="14"/>
    <row r="316" s="115" customFormat="1" ht="14"/>
    <row r="317" s="115" customFormat="1" ht="14"/>
    <row r="318" s="115" customFormat="1" ht="14"/>
    <row r="319" s="115" customFormat="1" ht="14"/>
    <row r="320" s="115" customFormat="1" ht="14"/>
    <row r="321" s="115" customFormat="1" ht="14"/>
    <row r="322" s="115" customFormat="1" ht="14"/>
    <row r="323" s="115" customFormat="1" ht="14"/>
    <row r="324" s="115" customFormat="1" ht="14"/>
    <row r="325" s="115" customFormat="1" ht="14"/>
    <row r="326" s="115" customFormat="1" ht="14"/>
    <row r="327" s="115" customFormat="1" ht="14"/>
    <row r="328" s="115" customFormat="1" ht="14"/>
    <row r="329" s="115" customFormat="1" ht="14"/>
    <row r="330" s="115" customFormat="1" ht="14"/>
    <row r="331" s="115" customFormat="1" ht="14"/>
    <row r="332" s="115" customFormat="1" ht="14"/>
    <row r="333" s="115" customFormat="1" ht="14"/>
    <row r="334" s="115" customFormat="1" ht="14"/>
    <row r="335" s="115" customFormat="1" ht="14"/>
    <row r="336" s="115" customFormat="1" ht="14"/>
    <row r="337" s="115" customFormat="1" ht="14"/>
    <row r="338" s="115" customFormat="1" ht="14"/>
    <row r="339" s="115" customFormat="1" ht="14"/>
    <row r="340" s="115" customFormat="1" ht="14"/>
    <row r="341" s="115" customFormat="1" ht="14"/>
    <row r="342" s="115" customFormat="1" ht="14"/>
    <row r="343" s="115" customFormat="1" ht="14"/>
    <row r="344" s="115" customFormat="1" ht="14"/>
    <row r="345" s="115" customFormat="1" ht="14"/>
    <row r="346" s="115" customFormat="1" ht="14"/>
    <row r="347" s="115" customFormat="1" ht="14"/>
    <row r="348" s="115" customFormat="1" ht="14"/>
    <row r="349" s="115" customFormat="1" ht="14"/>
    <row r="350" s="115" customFormat="1" ht="14"/>
    <row r="351" s="115" customFormat="1" ht="14"/>
    <row r="352" s="115" customFormat="1" ht="14"/>
    <row r="353" s="115" customFormat="1" ht="14"/>
    <row r="354" s="115" customFormat="1" ht="14"/>
    <row r="355" s="115" customFormat="1" ht="14"/>
    <row r="356" s="115" customFormat="1" ht="14"/>
    <row r="357" s="115" customFormat="1" ht="14"/>
    <row r="358" s="115" customFormat="1" ht="14"/>
    <row r="359" s="115" customFormat="1" ht="14"/>
    <row r="360" s="115" customFormat="1" ht="14"/>
    <row r="361" s="115" customFormat="1" ht="14"/>
    <row r="362" s="115" customFormat="1" ht="14"/>
    <row r="363" s="115" customFormat="1" ht="14"/>
    <row r="364" s="115" customFormat="1" ht="14"/>
    <row r="365" s="115" customFormat="1" ht="14"/>
    <row r="366" s="115" customFormat="1" ht="14"/>
    <row r="367" s="115" customFormat="1" ht="14"/>
    <row r="368" s="115" customFormat="1" ht="14"/>
    <row r="369" s="115" customFormat="1" ht="14"/>
    <row r="370" s="115" customFormat="1" ht="14"/>
    <row r="371" s="115" customFormat="1" ht="14"/>
    <row r="372" s="115" customFormat="1" ht="14"/>
    <row r="373" s="115" customFormat="1" ht="14"/>
    <row r="374" s="115" customFormat="1" ht="14"/>
    <row r="375" s="115" customFormat="1" ht="14"/>
    <row r="376" s="115" customFormat="1" ht="14"/>
    <row r="377" s="115" customFormat="1" ht="14"/>
    <row r="378" s="115" customFormat="1" ht="14"/>
    <row r="379" s="115" customFormat="1" ht="14"/>
    <row r="380" s="115" customFormat="1" ht="14"/>
    <row r="381" s="115" customFormat="1" ht="14"/>
    <row r="382" s="115" customFormat="1" ht="14"/>
    <row r="383" s="115" customFormat="1" ht="14"/>
    <row r="384" s="115" customFormat="1" ht="14"/>
    <row r="385" s="115" customFormat="1" ht="14"/>
    <row r="386" s="115" customFormat="1" ht="14"/>
    <row r="387" s="115" customFormat="1" ht="14"/>
    <row r="388" s="115" customFormat="1" ht="14"/>
    <row r="389" s="115" customFormat="1" ht="14"/>
    <row r="390" s="115" customFormat="1" ht="14"/>
    <row r="391" s="115" customFormat="1" ht="14"/>
    <row r="392" s="115" customFormat="1" ht="14"/>
    <row r="393" s="115" customFormat="1" ht="14"/>
    <row r="394" s="115" customFormat="1" ht="14"/>
    <row r="395" s="115" customFormat="1" ht="14"/>
    <row r="396" s="115" customFormat="1" ht="14"/>
    <row r="397" s="115" customFormat="1" ht="14"/>
    <row r="398" s="115" customFormat="1" ht="14"/>
    <row r="399" s="115" customFormat="1" ht="14"/>
    <row r="400" s="115" customFormat="1" ht="14"/>
    <row r="401" s="115" customFormat="1" ht="14"/>
    <row r="402" s="115" customFormat="1" ht="14"/>
    <row r="403" s="115" customFormat="1" ht="14"/>
    <row r="404" s="115" customFormat="1" ht="14"/>
    <row r="405" s="115" customFormat="1" ht="14"/>
    <row r="406" s="115" customFormat="1" ht="14"/>
    <row r="407" s="115" customFormat="1" ht="14"/>
    <row r="408" s="115" customFormat="1" ht="14"/>
    <row r="409" s="115" customFormat="1" ht="14"/>
    <row r="410" s="115" customFormat="1" ht="14"/>
    <row r="411" s="115" customFormat="1" ht="14"/>
    <row r="412" s="115" customFormat="1" ht="14"/>
    <row r="413" s="115" customFormat="1" ht="14"/>
    <row r="414" s="115" customFormat="1" ht="14"/>
    <row r="415" s="115" customFormat="1" ht="14"/>
    <row r="416" s="115" customFormat="1" ht="14"/>
    <row r="417" s="115" customFormat="1" ht="14"/>
    <row r="418" s="115" customFormat="1" ht="14"/>
    <row r="419" s="115" customFormat="1" ht="14"/>
    <row r="420" s="115" customFormat="1" ht="14"/>
    <row r="421" s="115" customFormat="1" ht="14"/>
    <row r="422" s="115" customFormat="1" ht="14"/>
    <row r="423" s="115" customFormat="1" ht="14"/>
    <row r="424" s="115" customFormat="1" ht="14"/>
    <row r="425" s="115" customFormat="1" ht="14"/>
    <row r="426" s="115" customFormat="1" ht="14"/>
    <row r="427" s="115" customFormat="1" ht="14"/>
    <row r="428" s="115" customFormat="1" ht="14"/>
    <row r="429" s="115" customFormat="1" ht="14"/>
    <row r="430" s="115" customFormat="1" ht="14"/>
    <row r="431" s="115" customFormat="1" ht="14"/>
    <row r="432" s="115" customFormat="1" ht="14"/>
    <row r="433" s="115" customFormat="1" ht="14"/>
    <row r="434" s="115" customFormat="1" ht="14"/>
    <row r="435" s="115" customFormat="1" ht="14"/>
    <row r="436" s="115" customFormat="1" ht="14"/>
    <row r="437" s="115" customFormat="1" ht="14"/>
    <row r="438" s="115" customFormat="1" ht="14"/>
    <row r="439" s="115" customFormat="1" ht="14"/>
    <row r="440" s="115" customFormat="1" ht="14"/>
    <row r="441" s="115" customFormat="1" ht="14"/>
    <row r="442" s="115" customFormat="1" ht="14"/>
    <row r="443" s="115" customFormat="1" ht="14"/>
    <row r="444" s="115" customFormat="1" ht="14"/>
    <row r="445" s="115" customFormat="1" ht="14"/>
    <row r="446" s="115" customFormat="1" ht="14"/>
    <row r="447" s="115" customFormat="1" ht="14"/>
    <row r="448" s="115" customFormat="1" ht="14"/>
    <row r="449" s="115" customFormat="1" ht="14"/>
    <row r="450" s="115" customFormat="1" ht="14"/>
    <row r="451" s="115" customFormat="1" ht="14"/>
    <row r="452" s="115" customFormat="1" ht="14"/>
    <row r="453" s="115" customFormat="1" ht="14"/>
    <row r="454" s="115" customFormat="1" ht="14"/>
    <row r="455" s="115" customFormat="1" ht="14"/>
    <row r="456" s="115" customFormat="1" ht="14"/>
    <row r="457" s="115" customFormat="1" ht="14"/>
    <row r="458" s="115" customFormat="1" ht="14"/>
    <row r="459" s="115" customFormat="1" ht="14"/>
    <row r="460" s="115" customFormat="1" ht="14"/>
    <row r="461" s="115" customFormat="1" ht="14"/>
    <row r="462" s="115" customFormat="1" ht="14"/>
    <row r="463" s="115" customFormat="1" ht="14"/>
    <row r="464" s="115" customFormat="1" ht="14"/>
    <row r="465" s="115" customFormat="1" ht="14"/>
    <row r="466" s="115" customFormat="1" ht="14"/>
    <row r="467" s="115" customFormat="1" ht="14"/>
    <row r="468" s="115" customFormat="1" ht="14"/>
    <row r="469" s="115" customFormat="1" ht="14"/>
    <row r="470" s="115" customFormat="1" ht="14"/>
    <row r="471" s="115" customFormat="1" ht="14"/>
    <row r="472" s="115" customFormat="1" ht="14"/>
    <row r="473" s="115" customFormat="1" ht="14"/>
    <row r="474" s="115" customFormat="1" ht="14"/>
    <row r="475" s="115" customFormat="1" ht="14"/>
    <row r="476" s="115" customFormat="1" ht="14"/>
    <row r="477" s="115" customFormat="1" ht="14"/>
    <row r="478" s="115" customFormat="1" ht="14"/>
    <row r="479" s="115" customFormat="1" ht="14"/>
    <row r="480" s="115" customFormat="1" ht="14"/>
    <row r="481" s="115" customFormat="1" ht="14"/>
    <row r="482" s="115" customFormat="1" ht="14"/>
    <row r="483" s="115" customFormat="1" ht="14"/>
    <row r="484" s="115" customFormat="1" ht="14"/>
    <row r="485" s="115" customFormat="1" ht="14"/>
    <row r="486" s="115" customFormat="1" ht="14"/>
    <row r="487" s="115" customFormat="1" ht="14"/>
    <row r="488" s="115" customFormat="1" ht="14"/>
    <row r="489" s="115" customFormat="1" ht="14"/>
    <row r="490" s="115" customFormat="1" ht="14"/>
    <row r="491" s="115" customFormat="1" ht="14"/>
    <row r="492" s="115" customFormat="1" ht="14"/>
    <row r="493" s="115" customFormat="1" ht="14"/>
    <row r="494" s="115" customFormat="1" ht="14"/>
    <row r="495" s="115" customFormat="1" ht="14"/>
    <row r="496" s="115" customFormat="1" ht="14"/>
    <row r="497" s="115" customFormat="1" ht="14"/>
    <row r="498" s="115" customFormat="1" ht="14"/>
    <row r="499" s="115" customFormat="1" ht="14"/>
    <row r="500" s="115" customFormat="1" ht="14"/>
    <row r="501" s="115" customFormat="1" ht="14"/>
    <row r="502" s="115" customFormat="1" ht="14"/>
    <row r="503" s="115" customFormat="1" ht="14"/>
    <row r="504" s="115" customFormat="1" ht="14"/>
    <row r="505" s="115" customFormat="1" ht="14"/>
    <row r="506" s="115" customFormat="1" ht="14"/>
    <row r="507" s="115" customFormat="1" ht="14"/>
    <row r="508" s="115" customFormat="1" ht="14"/>
    <row r="509" s="115" customFormat="1" ht="14"/>
    <row r="510" s="115" customFormat="1" ht="14"/>
    <row r="511" s="115" customFormat="1" ht="14"/>
    <row r="512" s="115" customFormat="1" ht="14"/>
    <row r="513" s="115" customFormat="1" ht="14"/>
    <row r="514" s="115" customFormat="1" ht="14"/>
    <row r="515" s="115" customFormat="1" ht="14"/>
    <row r="516" s="115" customFormat="1" ht="14"/>
    <row r="517" s="115" customFormat="1" ht="14"/>
    <row r="518" s="115" customFormat="1" ht="14"/>
    <row r="519" s="115" customFormat="1" ht="14"/>
    <row r="520" s="115" customFormat="1" ht="14"/>
    <row r="521" s="115" customFormat="1" ht="14"/>
    <row r="522" s="115" customFormat="1" ht="14"/>
    <row r="523" s="115" customFormat="1" ht="14"/>
    <row r="524" s="115" customFormat="1" ht="14"/>
    <row r="525" s="115" customFormat="1" ht="14"/>
    <row r="526" s="115" customFormat="1" ht="14"/>
    <row r="527" s="115" customFormat="1" ht="14"/>
    <row r="528" s="115" customFormat="1" ht="14"/>
    <row r="529" s="115" customFormat="1" ht="14"/>
    <row r="530" s="115" customFormat="1" ht="14"/>
    <row r="531" s="115" customFormat="1" ht="14"/>
    <row r="532" s="115" customFormat="1" ht="14"/>
    <row r="533" s="115" customFormat="1" ht="14"/>
    <row r="534" s="115" customFormat="1" ht="14"/>
    <row r="535" s="115" customFormat="1" ht="14"/>
    <row r="536" s="115" customFormat="1" ht="14"/>
    <row r="537" s="115" customFormat="1" ht="14"/>
    <row r="538" s="115" customFormat="1" ht="14"/>
    <row r="539" s="115" customFormat="1" ht="14"/>
    <row r="540" s="115" customFormat="1" ht="14"/>
    <row r="541" s="115" customFormat="1" ht="14"/>
    <row r="542" s="115" customFormat="1" ht="14"/>
    <row r="543" s="115" customFormat="1" ht="14"/>
    <row r="544" s="115" customFormat="1" ht="14"/>
    <row r="545" s="115" customFormat="1" ht="14"/>
    <row r="546" s="115" customFormat="1" ht="14"/>
    <row r="547" s="115" customFormat="1" ht="14"/>
    <row r="548" s="115" customFormat="1" ht="14"/>
    <row r="549" s="115" customFormat="1" ht="14"/>
    <row r="550" s="115" customFormat="1" ht="14"/>
    <row r="551" s="115" customFormat="1" ht="14"/>
    <row r="552" s="115" customFormat="1" ht="14"/>
    <row r="553" s="115" customFormat="1" ht="14"/>
    <row r="554" s="115" customFormat="1" ht="14"/>
    <row r="555" s="115" customFormat="1" ht="14"/>
    <row r="556" s="115" customFormat="1" ht="14"/>
    <row r="557" s="115" customFormat="1" ht="14"/>
    <row r="558" s="115" customFormat="1" ht="14"/>
    <row r="559" s="115" customFormat="1" ht="14"/>
    <row r="560" s="115" customFormat="1" ht="14"/>
    <row r="561" s="115" customFormat="1" ht="14"/>
    <row r="562" s="115" customFormat="1" ht="14"/>
    <row r="563" s="115" customFormat="1" ht="14"/>
    <row r="564" s="115" customFormat="1" ht="14"/>
    <row r="565" s="115" customFormat="1" ht="14"/>
    <row r="566" s="115" customFormat="1" ht="14"/>
    <row r="567" s="115" customFormat="1" ht="14"/>
    <row r="568" s="115" customFormat="1" ht="14"/>
    <row r="569" s="115" customFormat="1" ht="14"/>
    <row r="570" s="115" customFormat="1" ht="14"/>
    <row r="571" s="115" customFormat="1" ht="14"/>
    <row r="572" s="115" customFormat="1" ht="14"/>
    <row r="573" s="115" customFormat="1" ht="14"/>
    <row r="574" s="115" customFormat="1" ht="14"/>
    <row r="575" s="115" customFormat="1" ht="14"/>
    <row r="576" s="115" customFormat="1" ht="14"/>
    <row r="577" s="115" customFormat="1" ht="14"/>
    <row r="578" s="115" customFormat="1" ht="14"/>
    <row r="579" s="115" customFormat="1" ht="14"/>
    <row r="580" s="115" customFormat="1" ht="14"/>
    <row r="581" s="115" customFormat="1" ht="14"/>
    <row r="582" s="115" customFormat="1" ht="14"/>
    <row r="583" s="115" customFormat="1" ht="14"/>
    <row r="584" s="115" customFormat="1" ht="14"/>
    <row r="585" s="115" customFormat="1" ht="14"/>
    <row r="586" s="115" customFormat="1" ht="14"/>
    <row r="587" s="115" customFormat="1" ht="14"/>
    <row r="588" s="115" customFormat="1" ht="14"/>
    <row r="589" s="115" customFormat="1" ht="14"/>
    <row r="590" s="115" customFormat="1" ht="14"/>
    <row r="591" s="115" customFormat="1" ht="14"/>
    <row r="592" s="115" customFormat="1" ht="14"/>
    <row r="593" s="115" customFormat="1" ht="14"/>
    <row r="594" s="115" customFormat="1" ht="14"/>
    <row r="595" s="115" customFormat="1" ht="14"/>
    <row r="596" s="115" customFormat="1" ht="14"/>
    <row r="597" s="115" customFormat="1" ht="14"/>
    <row r="598" s="115" customFormat="1" ht="14"/>
    <row r="599" s="115" customFormat="1" ht="14"/>
    <row r="600" s="115" customFormat="1" ht="14"/>
    <row r="601" s="115" customFormat="1" ht="14"/>
    <row r="602" s="115" customFormat="1" ht="14"/>
    <row r="603" s="115" customFormat="1" ht="14"/>
    <row r="604" s="115" customFormat="1" ht="14"/>
    <row r="605" s="115" customFormat="1" ht="14"/>
    <row r="606" s="115" customFormat="1" ht="14"/>
    <row r="607" s="115" customFormat="1" ht="14"/>
    <row r="608" s="115" customFormat="1" ht="14"/>
    <row r="609" s="115" customFormat="1" ht="14"/>
    <row r="610" s="115" customFormat="1" ht="14"/>
    <row r="611" s="115" customFormat="1" ht="14"/>
    <row r="612" s="115" customFormat="1" ht="14"/>
    <row r="613" s="115" customFormat="1" ht="14"/>
    <row r="614" s="115" customFormat="1" ht="14"/>
    <row r="615" s="115" customFormat="1" ht="14"/>
    <row r="616" s="115" customFormat="1" ht="14"/>
    <row r="617" s="115" customFormat="1" ht="14"/>
    <row r="618" s="115" customFormat="1" ht="14"/>
    <row r="619" s="115" customFormat="1" ht="14"/>
    <row r="620" s="115" customFormat="1" ht="14"/>
    <row r="621" s="115" customFormat="1" ht="14"/>
    <row r="622" s="115" customFormat="1" ht="14"/>
    <row r="623" s="115" customFormat="1" ht="14"/>
    <row r="624" s="115" customFormat="1" ht="14"/>
    <row r="625" s="115" customFormat="1" ht="14"/>
    <row r="626" s="115" customFormat="1" ht="14"/>
    <row r="627" s="115" customFormat="1" ht="14"/>
    <row r="628" s="115" customFormat="1" ht="14"/>
    <row r="629" s="115" customFormat="1" ht="14"/>
    <row r="630" s="115" customFormat="1" ht="14"/>
    <row r="631" s="115" customFormat="1" ht="14"/>
    <row r="632" s="115" customFormat="1" ht="14"/>
    <row r="633" s="115" customFormat="1" ht="14"/>
    <row r="634" s="115" customFormat="1" ht="14"/>
    <row r="635" s="115" customFormat="1" ht="14"/>
    <row r="636" s="115" customFormat="1" ht="14"/>
    <row r="637" s="115" customFormat="1" ht="14"/>
    <row r="638" s="115" customFormat="1" ht="14"/>
    <row r="639" s="115" customFormat="1" ht="14"/>
    <row r="640" s="115" customFormat="1" ht="14"/>
    <row r="641" s="115" customFormat="1" ht="14"/>
    <row r="642" s="115" customFormat="1" ht="14"/>
    <row r="643" s="115" customFormat="1" ht="14"/>
    <row r="644" s="115" customFormat="1" ht="14"/>
    <row r="645" s="115" customFormat="1" ht="14"/>
    <row r="646" s="115" customFormat="1" ht="14"/>
    <row r="647" s="115" customFormat="1" ht="14"/>
    <row r="648" s="115" customFormat="1" ht="14"/>
    <row r="649" s="115" customFormat="1" ht="14"/>
    <row r="650" s="115" customFormat="1" ht="14"/>
    <row r="651" s="115" customFormat="1" ht="14"/>
    <row r="652" s="115" customFormat="1" ht="14"/>
    <row r="653" s="115" customFormat="1" ht="14"/>
    <row r="654" s="115" customFormat="1" ht="14"/>
    <row r="655" s="115" customFormat="1" ht="14"/>
    <row r="656" s="115" customFormat="1" ht="14"/>
    <row r="657" s="115" customFormat="1" ht="14"/>
    <row r="658" s="115" customFormat="1" ht="14"/>
    <row r="659" s="115" customFormat="1" ht="14"/>
    <row r="660" s="115" customFormat="1" ht="14"/>
    <row r="661" s="115" customFormat="1" ht="14"/>
    <row r="662" s="115" customFormat="1" ht="14"/>
    <row r="663" s="115" customFormat="1" ht="14"/>
    <row r="664" s="115" customFormat="1" ht="14"/>
    <row r="665" s="115" customFormat="1" ht="14"/>
    <row r="666" s="115" customFormat="1" ht="14"/>
    <row r="667" s="115" customFormat="1" ht="14"/>
    <row r="668" s="115" customFormat="1" ht="14"/>
    <row r="669" s="115" customFormat="1" ht="14"/>
    <row r="670" s="115" customFormat="1" ht="14"/>
    <row r="671" s="115" customFormat="1" ht="14"/>
    <row r="672" s="115" customFormat="1" ht="14"/>
    <row r="673" s="115" customFormat="1" ht="14"/>
    <row r="674" s="115" customFormat="1" ht="14"/>
    <row r="675" s="115" customFormat="1" ht="14"/>
    <row r="676" s="115" customFormat="1" ht="14"/>
    <row r="677" s="115" customFormat="1" ht="14"/>
    <row r="678" s="115" customFormat="1" ht="14"/>
    <row r="679" s="115" customFormat="1" ht="14"/>
    <row r="680" s="115" customFormat="1" ht="14"/>
    <row r="681" s="115" customFormat="1" ht="14"/>
    <row r="682" s="115" customFormat="1" ht="14"/>
    <row r="683" s="115" customFormat="1" ht="14"/>
    <row r="684" s="115" customFormat="1" ht="14"/>
    <row r="685" s="115" customFormat="1" ht="14"/>
    <row r="686" s="115" customFormat="1" ht="14"/>
    <row r="687" s="115" customFormat="1" ht="14"/>
    <row r="688" s="115" customFormat="1" ht="14"/>
    <row r="689" s="115" customFormat="1" ht="14"/>
    <row r="690" s="115" customFormat="1" ht="14"/>
    <row r="691" s="115" customFormat="1" ht="14"/>
    <row r="692" s="115" customFormat="1" ht="14"/>
    <row r="693" s="115" customFormat="1" ht="14"/>
    <row r="694" s="115" customFormat="1" ht="14"/>
    <row r="695" s="115" customFormat="1" ht="14"/>
    <row r="696" s="115" customFormat="1" ht="14"/>
    <row r="697" s="115" customFormat="1" ht="14"/>
    <row r="698" s="115" customFormat="1" ht="14"/>
    <row r="699" s="115" customFormat="1" ht="14"/>
    <row r="700" s="115" customFormat="1" ht="14"/>
    <row r="701" s="115" customFormat="1" ht="14"/>
    <row r="702" s="115" customFormat="1" ht="14"/>
    <row r="703" s="115" customFormat="1" ht="14"/>
    <row r="704" s="115" customFormat="1" ht="14"/>
    <row r="705" s="115" customFormat="1" ht="14"/>
    <row r="706" s="115" customFormat="1" ht="14"/>
    <row r="707" s="115" customFormat="1" ht="14"/>
    <row r="708" s="115" customFormat="1" ht="14"/>
    <row r="709" s="115" customFormat="1" ht="14"/>
    <row r="710" s="115" customFormat="1" ht="14"/>
    <row r="711" s="115" customFormat="1" ht="14"/>
    <row r="712" s="115" customFormat="1" ht="14"/>
    <row r="713" s="115" customFormat="1" ht="14"/>
    <row r="714" s="115" customFormat="1" ht="14"/>
    <row r="715" s="115" customFormat="1" ht="14"/>
    <row r="716" s="115" customFormat="1" ht="14"/>
    <row r="717" s="115" customFormat="1" ht="14"/>
    <row r="718" s="115" customFormat="1" ht="14"/>
    <row r="719" s="115" customFormat="1" ht="14"/>
    <row r="720" s="115" customFormat="1" ht="14"/>
    <row r="721" s="115" customFormat="1" ht="14"/>
    <row r="722" s="115" customFormat="1" ht="14"/>
    <row r="723" s="115" customFormat="1" ht="14"/>
    <row r="724" s="115" customFormat="1" ht="14"/>
    <row r="725" s="115" customFormat="1" ht="14"/>
    <row r="726" s="115" customFormat="1" ht="14"/>
    <row r="727" s="115" customFormat="1" ht="14"/>
    <row r="728" s="115" customFormat="1" ht="14"/>
    <row r="729" s="115" customFormat="1" ht="14"/>
    <row r="730" s="115" customFormat="1" ht="14"/>
    <row r="731" s="115" customFormat="1" ht="14"/>
    <row r="732" s="115" customFormat="1" ht="14"/>
    <row r="733" s="115" customFormat="1" ht="14"/>
    <row r="734" s="115" customFormat="1" ht="14"/>
    <row r="735" s="115" customFormat="1" ht="14"/>
    <row r="736" s="115" customFormat="1" ht="14"/>
    <row r="737" s="115" customFormat="1" ht="14"/>
    <row r="738" s="115" customFormat="1" ht="14"/>
    <row r="739" s="115" customFormat="1" ht="14"/>
    <row r="740" s="115" customFormat="1" ht="14"/>
    <row r="741" s="115" customFormat="1" ht="14"/>
    <row r="742" s="115" customFormat="1" ht="14"/>
    <row r="743" s="115" customFormat="1" ht="14"/>
    <row r="744" s="115" customFormat="1" ht="14"/>
    <row r="745" s="115" customFormat="1" ht="14"/>
    <row r="746" s="115" customFormat="1" ht="14"/>
    <row r="747" s="115" customFormat="1" ht="14"/>
    <row r="748" s="115" customFormat="1" ht="14"/>
    <row r="749" s="115" customFormat="1" ht="14"/>
    <row r="750" s="115" customFormat="1" ht="14"/>
    <row r="751" s="115" customFormat="1" ht="14"/>
    <row r="752" s="115" customFormat="1" ht="14"/>
    <row r="753" s="115" customFormat="1" ht="14"/>
    <row r="754" s="115" customFormat="1" ht="14"/>
    <row r="755" s="115" customFormat="1" ht="14"/>
    <row r="756" s="115" customFormat="1" ht="14"/>
    <row r="757" s="115" customFormat="1" ht="14"/>
    <row r="758" s="115" customFormat="1" ht="14"/>
    <row r="759" s="115" customFormat="1" ht="14"/>
    <row r="760" s="115" customFormat="1" ht="14"/>
    <row r="761" s="115" customFormat="1" ht="14"/>
    <row r="762" s="115" customFormat="1" ht="14"/>
    <row r="763" s="115" customFormat="1" ht="14"/>
    <row r="764" s="115" customFormat="1" ht="14"/>
    <row r="765" s="115" customFormat="1" ht="14"/>
    <row r="766" s="115" customFormat="1" ht="14"/>
    <row r="767" s="115" customFormat="1" ht="14"/>
    <row r="768" s="115" customFormat="1" ht="14"/>
    <row r="769" s="115" customFormat="1" ht="14"/>
    <row r="770" s="115" customFormat="1" ht="14"/>
    <row r="771" s="115" customFormat="1" ht="14"/>
    <row r="772" s="115" customFormat="1" ht="14"/>
    <row r="773" s="115" customFormat="1" ht="14"/>
    <row r="774" s="115" customFormat="1" ht="14"/>
    <row r="775" s="115" customFormat="1" ht="14"/>
    <row r="776" s="115" customFormat="1" ht="14"/>
    <row r="777" s="115" customFormat="1" ht="14"/>
    <row r="778" s="115" customFormat="1" ht="14"/>
    <row r="779" s="115" customFormat="1" ht="14"/>
    <row r="780" s="115" customFormat="1" ht="14"/>
    <row r="781" s="115" customFormat="1" ht="14"/>
    <row r="782" s="115" customFormat="1" ht="14"/>
    <row r="783" s="115" customFormat="1" ht="14"/>
    <row r="784" s="115" customFormat="1" ht="14"/>
    <row r="785" s="115" customFormat="1" ht="14"/>
    <row r="786" s="115" customFormat="1" ht="14"/>
    <row r="787" s="115" customFormat="1" ht="14"/>
    <row r="788" s="115" customFormat="1" ht="14"/>
    <row r="789" s="115" customFormat="1" ht="14"/>
    <row r="790" s="115" customFormat="1" ht="14"/>
    <row r="791" s="115" customFormat="1" ht="14"/>
    <row r="792" s="115" customFormat="1" ht="14"/>
    <row r="793" s="115" customFormat="1" ht="14"/>
    <row r="794" s="115" customFormat="1" ht="14"/>
    <row r="795" s="115" customFormat="1" ht="14"/>
    <row r="796" s="115" customFormat="1" ht="14"/>
    <row r="797" s="115" customFormat="1" ht="14"/>
    <row r="798" s="115" customFormat="1" ht="14"/>
    <row r="799" s="115" customFormat="1" ht="14"/>
    <row r="800" s="115" customFormat="1" ht="14"/>
    <row r="801" s="115" customFormat="1" ht="14"/>
    <row r="802" s="115" customFormat="1" ht="14"/>
    <row r="803" s="115" customFormat="1" ht="14"/>
    <row r="804" s="115" customFormat="1" ht="14"/>
    <row r="805" s="115" customFormat="1" ht="14"/>
    <row r="806" s="115" customFormat="1" ht="14"/>
    <row r="807" s="115" customFormat="1" ht="14"/>
    <row r="808" s="115" customFormat="1" ht="14"/>
    <row r="809" s="115" customFormat="1" ht="14"/>
    <row r="810" s="115" customFormat="1" ht="14"/>
    <row r="811" s="115" customFormat="1" ht="14"/>
    <row r="812" s="115" customFormat="1" ht="14"/>
    <row r="813" s="115" customFormat="1" ht="14"/>
    <row r="814" s="115" customFormat="1" ht="14"/>
    <row r="815" s="115" customFormat="1" ht="14"/>
    <row r="816" s="115" customFormat="1" ht="14"/>
    <row r="817" s="115" customFormat="1" ht="14"/>
    <row r="818" s="115" customFormat="1" ht="14"/>
    <row r="819" s="115" customFormat="1" ht="14"/>
    <row r="820" s="115" customFormat="1" ht="14"/>
    <row r="821" s="115" customFormat="1" ht="14"/>
    <row r="822" s="115" customFormat="1" ht="14"/>
    <row r="823" s="115" customFormat="1" ht="14"/>
    <row r="824" s="115" customFormat="1" ht="14"/>
    <row r="825" s="115" customFormat="1" ht="14"/>
    <row r="826" s="115" customFormat="1" ht="14"/>
    <row r="827" s="115" customFormat="1" ht="14"/>
    <row r="828" s="115" customFormat="1" ht="14"/>
    <row r="829" s="115" customFormat="1" ht="14"/>
    <row r="830" s="115" customFormat="1" ht="14"/>
    <row r="831" s="115" customFormat="1" ht="14"/>
    <row r="832" s="115" customFormat="1" ht="14"/>
    <row r="833" s="115" customFormat="1" ht="14"/>
    <row r="834" s="115" customFormat="1" ht="14"/>
    <row r="835" s="115" customFormat="1" ht="14"/>
    <row r="836" s="115" customFormat="1" ht="14"/>
    <row r="837" s="115" customFormat="1" ht="14"/>
    <row r="838" s="115" customFormat="1" ht="14"/>
    <row r="839" s="115" customFormat="1" ht="14"/>
    <row r="840" s="115" customFormat="1" ht="14"/>
    <row r="841" s="115" customFormat="1" ht="14"/>
    <row r="842" s="115" customFormat="1" ht="14"/>
    <row r="843" s="115" customFormat="1" ht="14"/>
    <row r="844" s="115" customFormat="1" ht="14"/>
    <row r="845" s="115" customFormat="1" ht="14"/>
    <row r="846" s="115" customFormat="1" ht="14"/>
    <row r="847" s="115" customFormat="1" ht="14"/>
    <row r="848" s="115" customFormat="1" ht="14"/>
    <row r="849" s="115" customFormat="1" ht="14"/>
    <row r="850" s="115" customFormat="1" ht="14"/>
    <row r="851" s="115" customFormat="1" ht="14"/>
    <row r="852" s="115" customFormat="1" ht="14"/>
    <row r="853" s="115" customFormat="1" ht="14"/>
    <row r="854" s="115" customFormat="1" ht="14"/>
    <row r="855" s="115" customFormat="1" ht="14"/>
    <row r="856" s="115" customFormat="1" ht="14"/>
    <row r="857" s="115" customFormat="1" ht="14"/>
    <row r="858" s="115" customFormat="1" ht="14"/>
    <row r="859" s="115" customFormat="1" ht="14"/>
    <row r="860" s="115" customFormat="1" ht="14"/>
    <row r="861" s="115" customFormat="1" ht="14"/>
    <row r="862" s="115" customFormat="1" ht="14"/>
    <row r="863" s="115" customFormat="1" ht="14"/>
    <row r="864" s="115" customFormat="1" ht="14"/>
    <row r="865" s="115" customFormat="1" ht="14"/>
    <row r="866" s="115" customFormat="1" ht="14"/>
    <row r="867" s="115" customFormat="1" ht="14"/>
    <row r="868" s="115" customFormat="1" ht="14"/>
    <row r="869" s="115" customFormat="1" ht="14"/>
    <row r="870" s="115" customFormat="1" ht="14"/>
    <row r="871" s="115" customFormat="1" ht="14"/>
    <row r="872" s="115" customFormat="1" ht="14"/>
    <row r="873" s="115" customFormat="1" ht="14"/>
    <row r="874" s="115" customFormat="1" ht="14"/>
    <row r="875" s="115" customFormat="1" ht="14"/>
    <row r="876" s="115" customFormat="1" ht="14"/>
    <row r="877" s="115" customFormat="1" ht="14"/>
    <row r="878" s="115" customFormat="1" ht="14"/>
    <row r="879" s="115" customFormat="1" ht="14"/>
    <row r="880" s="115" customFormat="1" ht="14"/>
    <row r="881" s="115" customFormat="1" ht="14"/>
    <row r="882" s="115" customFormat="1" ht="14"/>
    <row r="883" s="115" customFormat="1" ht="14"/>
    <row r="884" s="115" customFormat="1" ht="14"/>
    <row r="885" s="115" customFormat="1" ht="14"/>
    <row r="886" s="115" customFormat="1" ht="14"/>
    <row r="887" s="115" customFormat="1" ht="14"/>
    <row r="888" s="115" customFormat="1" ht="14"/>
    <row r="889" s="115" customFormat="1" ht="14"/>
    <row r="890" s="115" customFormat="1" ht="14"/>
    <row r="891" s="115" customFormat="1" ht="14"/>
    <row r="892" s="115" customFormat="1" ht="14"/>
    <row r="893" s="115" customFormat="1" ht="14"/>
    <row r="894" s="115" customFormat="1" ht="14"/>
    <row r="895" s="115" customFormat="1" ht="14"/>
    <row r="896" s="115" customFormat="1" ht="14"/>
    <row r="897" s="115" customFormat="1" ht="14"/>
    <row r="898" s="115" customFormat="1" ht="14"/>
    <row r="899" s="115" customFormat="1" ht="14"/>
    <row r="900" s="115" customFormat="1" ht="14"/>
    <row r="901" s="115" customFormat="1" ht="14"/>
    <row r="902" s="115" customFormat="1" ht="14"/>
    <row r="903" s="115" customFormat="1" ht="14"/>
    <row r="904" s="115" customFormat="1" ht="14"/>
    <row r="905" s="115" customFormat="1" ht="14"/>
    <row r="906" s="115" customFormat="1" ht="14"/>
    <row r="907" s="115" customFormat="1" ht="14"/>
    <row r="908" s="115" customFormat="1" ht="14"/>
    <row r="909" s="115" customFormat="1" ht="14"/>
    <row r="910" s="115" customFormat="1" ht="14"/>
    <row r="911" s="115" customFormat="1" ht="14"/>
    <row r="912" s="115" customFormat="1" ht="14"/>
    <row r="913" s="115" customFormat="1" ht="14"/>
    <row r="914" s="115" customFormat="1" ht="14"/>
    <row r="915" s="115" customFormat="1" ht="14"/>
    <row r="916" s="115" customFormat="1" ht="14"/>
    <row r="917" s="115" customFormat="1" ht="14"/>
    <row r="918" s="115" customFormat="1" ht="14"/>
    <row r="919" s="115" customFormat="1" ht="14"/>
    <row r="920" s="115" customFormat="1" ht="14"/>
    <row r="921" s="115" customFormat="1" ht="14"/>
    <row r="922" s="115" customFormat="1" ht="14"/>
    <row r="923" s="115" customFormat="1" ht="14"/>
    <row r="924" s="115" customFormat="1" ht="14"/>
    <row r="925" s="115" customFormat="1" ht="14"/>
    <row r="926" s="115" customFormat="1" ht="14"/>
    <row r="927" s="115" customFormat="1" ht="14"/>
    <row r="928" s="115" customFormat="1" ht="14"/>
    <row r="929" s="115" customFormat="1" ht="14"/>
    <row r="930" s="115" customFormat="1" ht="14"/>
    <row r="931" s="115" customFormat="1" ht="14"/>
    <row r="932" s="115" customFormat="1" ht="14"/>
    <row r="933" s="115" customFormat="1" ht="14"/>
    <row r="934" s="115" customFormat="1" ht="14"/>
    <row r="935" s="115" customFormat="1" ht="14"/>
    <row r="936" s="115" customFormat="1" ht="14"/>
    <row r="937" s="115" customFormat="1" ht="14"/>
    <row r="938" s="115" customFormat="1" ht="14"/>
    <row r="939" s="115" customFormat="1" ht="14"/>
    <row r="940" s="115" customFormat="1" ht="14"/>
    <row r="941" s="115" customFormat="1" ht="14"/>
    <row r="942" s="115" customFormat="1" ht="14"/>
    <row r="943" s="115" customFormat="1" ht="14"/>
    <row r="944" s="115" customFormat="1" ht="14"/>
    <row r="945" s="115" customFormat="1" ht="14"/>
    <row r="946" s="115" customFormat="1" ht="14"/>
    <row r="947" s="115" customFormat="1" ht="14"/>
    <row r="948" s="115" customFormat="1" ht="14"/>
    <row r="949" s="115" customFormat="1" ht="14"/>
    <row r="950" s="115" customFormat="1" ht="14"/>
    <row r="951" s="115" customFormat="1" ht="14"/>
    <row r="952" s="115" customFormat="1" ht="14"/>
    <row r="953" s="115" customFormat="1" ht="14"/>
    <row r="954" s="115" customFormat="1" ht="14"/>
    <row r="955" s="115" customFormat="1" ht="14"/>
    <row r="956" s="115" customFormat="1" ht="14"/>
    <row r="957" s="115" customFormat="1" ht="14"/>
    <row r="958" s="115" customFormat="1" ht="14"/>
    <row r="959" s="115" customFormat="1" ht="14"/>
    <row r="960" s="115" customFormat="1" ht="14"/>
    <row r="961" s="115" customFormat="1" ht="14"/>
    <row r="962" s="115" customFormat="1" ht="14"/>
    <row r="963" s="115" customFormat="1" ht="14"/>
    <row r="964" s="115" customFormat="1" ht="14"/>
    <row r="965" s="115" customFormat="1" ht="14"/>
    <row r="966" s="115" customFormat="1" ht="14"/>
    <row r="967" s="115" customFormat="1" ht="14"/>
    <row r="968" s="115" customFormat="1" ht="14"/>
    <row r="969" s="115" customFormat="1" ht="14"/>
    <row r="970" s="115" customFormat="1" ht="14"/>
    <row r="971" s="115" customFormat="1" ht="14"/>
    <row r="972" s="115" customFormat="1" ht="14"/>
    <row r="973" s="115" customFormat="1" ht="14"/>
    <row r="974" s="115" customFormat="1" ht="14"/>
    <row r="975" s="115" customFormat="1" ht="14"/>
    <row r="976" s="115" customFormat="1" ht="14"/>
    <row r="977" s="115" customFormat="1" ht="14"/>
    <row r="978" s="115" customFormat="1" ht="14"/>
    <row r="979" s="115" customFormat="1" ht="14"/>
    <row r="980" s="115" customFormat="1" ht="14"/>
    <row r="981" s="115" customFormat="1" ht="14"/>
    <row r="982" s="115" customFormat="1" ht="14"/>
    <row r="983" s="115" customFormat="1" ht="14"/>
    <row r="984" s="115" customFormat="1" ht="14"/>
    <row r="985" s="115" customFormat="1" ht="14"/>
    <row r="986" s="115" customFormat="1" ht="14"/>
    <row r="987" s="115" customFormat="1" ht="14"/>
    <row r="988" s="115" customFormat="1" ht="14"/>
    <row r="989" s="115" customFormat="1" ht="14"/>
    <row r="990" s="115" customFormat="1" ht="14"/>
    <row r="991" s="115" customFormat="1" ht="14"/>
    <row r="992" s="115" customFormat="1" ht="14"/>
    <row r="993" s="115" customFormat="1" ht="14"/>
    <row r="994" s="115" customFormat="1" ht="14"/>
    <row r="995" s="115" customFormat="1" ht="14"/>
    <row r="996" s="115" customFormat="1" ht="14"/>
    <row r="997" s="115" customFormat="1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3"/>
      <c r="G3" s="263"/>
      <c r="H3" s="264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60" t="s">
        <v>6</v>
      </c>
      <c r="Y3" s="260" t="s">
        <v>7</v>
      </c>
      <c r="Z3" s="120"/>
      <c r="AA3" s="114"/>
      <c r="AB3" s="114"/>
    </row>
    <row r="4" spans="1:35" ht="27" customHeight="1">
      <c r="A4" s="261"/>
      <c r="B4" s="261"/>
      <c r="C4" s="261"/>
      <c r="D4" s="261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61"/>
      <c r="Y4" s="261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3"/>
      <c r="G18" s="263"/>
      <c r="H18" s="264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60" t="s">
        <v>6</v>
      </c>
      <c r="Z18" s="260" t="s">
        <v>7</v>
      </c>
      <c r="AA18" s="120"/>
      <c r="AB18" s="114"/>
    </row>
    <row r="19" spans="1:29" ht="26.25" customHeight="1">
      <c r="A19" s="261"/>
      <c r="B19" s="261"/>
      <c r="C19" s="261"/>
      <c r="D19" s="261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61"/>
      <c r="Z19" s="261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baseColWidth="10" defaultColWidth="12.5" defaultRowHeight="15.75" customHeight="1"/>
  <cols>
    <col min="1" max="1" width="28.1640625" style="115" customWidth="1"/>
    <col min="2" max="2" width="11.83203125" style="115" customWidth="1"/>
    <col min="3" max="3" width="17" style="115" customWidth="1"/>
    <col min="4" max="4" width="10.5" style="115" customWidth="1"/>
    <col min="5" max="5" width="8.5" style="115" customWidth="1"/>
    <col min="6" max="6" width="7.5" style="115" customWidth="1"/>
    <col min="7" max="7" width="9.5" style="115" customWidth="1"/>
    <col min="8" max="8" width="9" style="115" customWidth="1"/>
    <col min="9" max="9" width="6.83203125" style="115" customWidth="1"/>
    <col min="10" max="11" width="6.5" style="115" customWidth="1"/>
    <col min="12" max="12" width="5.83203125" style="115" customWidth="1"/>
    <col min="13" max="14" width="6.5" style="115" customWidth="1"/>
    <col min="15" max="15" width="6.1640625" style="115" customWidth="1"/>
    <col min="16" max="16" width="6.33203125" style="115" customWidth="1"/>
    <col min="17" max="20" width="6.5" style="115" customWidth="1"/>
    <col min="21" max="21" width="6.6640625" style="115" customWidth="1"/>
    <col min="22" max="22" width="6.33203125" style="115" customWidth="1"/>
    <col min="23" max="23" width="6.5" style="115" customWidth="1"/>
    <col min="24" max="24" width="9.33203125" style="115" customWidth="1"/>
    <col min="25" max="25" width="9.5" style="115" customWidth="1"/>
    <col min="26" max="26" width="9.33203125" style="115" customWidth="1"/>
    <col min="27" max="27" width="8.6640625" style="115" customWidth="1"/>
    <col min="28" max="28" width="15.33203125" style="115" customWidth="1"/>
    <col min="29" max="29" width="14" style="115" customWidth="1"/>
    <col min="30" max="30" width="7.5" style="115" customWidth="1"/>
    <col min="31" max="31" width="17.6640625" style="115" customWidth="1"/>
    <col min="32" max="35" width="7.5" style="115" customWidth="1"/>
    <col min="36" max="16384" width="12.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3"/>
      <c r="G3" s="263"/>
      <c r="H3" s="264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60" t="s">
        <v>6</v>
      </c>
      <c r="Y3" s="260" t="s">
        <v>7</v>
      </c>
      <c r="Z3" s="120"/>
      <c r="AA3" s="114"/>
      <c r="AB3" s="114"/>
    </row>
    <row r="4" spans="1:35" ht="27" customHeight="1">
      <c r="A4" s="261"/>
      <c r="B4" s="261"/>
      <c r="C4" s="261"/>
      <c r="D4" s="261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61"/>
      <c r="Y4" s="261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3"/>
      <c r="G18" s="263"/>
      <c r="H18" s="264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60" t="s">
        <v>6</v>
      </c>
      <c r="Z18" s="260" t="s">
        <v>7</v>
      </c>
      <c r="AA18" s="120"/>
      <c r="AB18" s="114"/>
    </row>
    <row r="19" spans="1:29" ht="26.25" customHeight="1">
      <c r="A19" s="261"/>
      <c r="B19" s="261"/>
      <c r="C19" s="261"/>
      <c r="D19" s="261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61"/>
      <c r="Z19" s="261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baseColWidth="10" defaultColWidth="12.5" defaultRowHeight="15.75" customHeight="1"/>
  <cols>
    <col min="1" max="1" width="23.5" customWidth="1"/>
    <col min="2" max="2" width="11.83203125" customWidth="1"/>
    <col min="3" max="3" width="18.83203125" customWidth="1"/>
    <col min="4" max="4" width="10.5" customWidth="1"/>
    <col min="5" max="5" width="8.5" customWidth="1"/>
    <col min="6" max="6" width="7.5" customWidth="1"/>
    <col min="7" max="7" width="9.5" customWidth="1"/>
    <col min="8" max="8" width="9" customWidth="1"/>
    <col min="9" max="9" width="6.33203125" customWidth="1"/>
    <col min="10" max="11" width="6.5" customWidth="1"/>
    <col min="12" max="12" width="5.83203125" customWidth="1"/>
    <col min="13" max="14" width="6.5" customWidth="1"/>
    <col min="15" max="15" width="6.1640625" customWidth="1"/>
    <col min="16" max="16" width="6.33203125" customWidth="1"/>
    <col min="17" max="20" width="6.5" customWidth="1"/>
    <col min="21" max="21" width="6.6640625" customWidth="1"/>
    <col min="22" max="22" width="6.33203125" customWidth="1"/>
    <col min="23" max="23" width="6.5" customWidth="1"/>
    <col min="24" max="24" width="9.33203125" customWidth="1"/>
    <col min="25" max="25" width="9.5" customWidth="1"/>
    <col min="26" max="26" width="9.33203125" customWidth="1"/>
    <col min="27" max="27" width="8.6640625" customWidth="1"/>
    <col min="28" max="28" width="15.33203125" customWidth="1"/>
    <col min="29" max="29" width="14" customWidth="1"/>
    <col min="30" max="30" width="7.5" customWidth="1"/>
    <col min="31" max="31" width="17.6640625" customWidth="1"/>
    <col min="32" max="35" width="7.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FEB'26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Suresh Narayana Swamy</cp:lastModifiedBy>
  <cp:revision/>
  <dcterms:created xsi:type="dcterms:W3CDTF">2025-03-26T11:28:04Z</dcterms:created>
  <dcterms:modified xsi:type="dcterms:W3CDTF">2026-04-23T11:26:08Z</dcterms:modified>
  <cp:category/>
  <cp:contentStatus/>
</cp:coreProperties>
</file>